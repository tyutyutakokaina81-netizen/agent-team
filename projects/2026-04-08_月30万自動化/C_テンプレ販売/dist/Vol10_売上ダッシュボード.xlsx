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月のサマリ" sheetId="1" state="visible" r:id="rId1"/>
    <sheet name="取引" sheetId="2" state="visible" r:id="rId2"/>
    <sheet name="柱別月次" sheetId="3" state="visible" r:id="rId3"/>
    <sheet name="年間累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9F8"/>
        <bgColor rgb="00DAE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数式・備考</t>
        </is>
      </c>
    </row>
    <row r="2">
      <c r="A2" t="inlineStr">
        <is>
          <t>対象月</t>
        </is>
      </c>
      <c r="B2" t="inlineStr">
        <is>
          <t>2026-05</t>
        </is>
      </c>
      <c r="C2">
        <f>TEXT(TODAY()&amp;#44;"YYYY-MM")</f>
        <v/>
      </c>
    </row>
    <row r="3">
      <c r="A3" t="inlineStr">
        <is>
          <t>当月目標</t>
        </is>
      </c>
      <c r="B3" t="inlineStr">
        <is>
          <t>300000</t>
        </is>
      </c>
      <c r="C3" t="inlineStr">
        <is>
          <t>手入力</t>
        </is>
      </c>
    </row>
    <row r="4">
      <c r="A4" t="inlineStr">
        <is>
          <t>当月実績</t>
        </is>
      </c>
      <c r="B4" t="inlineStr">
        <is>
          <t>0</t>
        </is>
      </c>
      <c r="C4">
        <f>SUMIFS(取引!E:E&amp;#44;取引!A:A&amp;#44;"&gt;="&amp;DATE(YEAR(TODAY())&amp;#44;MONTH(TODAY())&amp;#44;1)&amp;#44;取引!A:A&amp;#44;"&lt;="&amp;EOMONTH(TODAY()&amp;#44;0))</f>
        <v/>
      </c>
    </row>
    <row r="5">
      <c r="A5" t="inlineStr">
        <is>
          <t>達成率</t>
        </is>
      </c>
      <c r="B5" t="inlineStr">
        <is>
          <t>0%</t>
        </is>
      </c>
      <c r="C5">
        <f>B4/B3</f>
        <v/>
      </c>
    </row>
    <row r="6">
      <c r="A6" t="inlineStr">
        <is>
          <t>残目標額</t>
        </is>
      </c>
      <c r="B6" t="inlineStr">
        <is>
          <t>300000</t>
        </is>
      </c>
      <c r="C6">
        <f>MAX(0&amp;#44;B3-B4)</f>
        <v/>
      </c>
    </row>
    <row r="7">
      <c r="A7" t="inlineStr">
        <is>
          <t>経過日数</t>
        </is>
      </c>
      <c r="B7" t="inlineStr">
        <is>
          <t>1</t>
        </is>
      </c>
      <c r="C7">
        <f>DAY(TODAY())</f>
        <v/>
      </c>
    </row>
    <row r="8">
      <c r="A8" t="inlineStr">
        <is>
          <t>残日数</t>
        </is>
      </c>
      <c r="B8" t="inlineStr">
        <is>
          <t>30</t>
        </is>
      </c>
      <c r="C8">
        <f>EOMONTH(TODAY()&amp;#44;0)-TODAY()</f>
        <v/>
      </c>
    </row>
    <row r="9">
      <c r="A9" t="inlineStr">
        <is>
          <t>必要日割</t>
        </is>
      </c>
      <c r="B9" t="inlineStr">
        <is>
          <t>10000</t>
        </is>
      </c>
      <c r="C9">
        <f>B6/B8</f>
        <v/>
      </c>
    </row>
    <row r="10">
      <c r="A10" t="inlineStr">
        <is>
          <t>当月予測着地</t>
        </is>
      </c>
      <c r="B10" t="inlineStr">
        <is>
          <t>0</t>
        </is>
      </c>
      <c r="C10">
        <f>B4/(B7/DAY(EOMONTH(TODAY()&amp;#44;0)))</f>
        <v/>
      </c>
    </row>
    <row r="11">
      <c r="A11" t="inlineStr">
        <is>
          <t>ステータス</t>
        </is>
      </c>
      <c r="B11" t="inlineStr">
        <is>
          <t>確認中</t>
        </is>
      </c>
      <c r="C11">
        <f>IF(B5&gt;=B7/DAY(EOMONTH(TODAY()&amp;#44;0))&amp;#44;"順調"&amp;#44;"遅れ")</f>
        <v/>
      </c>
    </row>
    <row r="12">
      <c r="A12" t="inlineStr">
        <is>
          <t>A柱必要案件数</t>
        </is>
      </c>
      <c r="B12" t="inlineStr">
        <is>
          <t>20</t>
        </is>
      </c>
      <c r="C12">
        <f>CEILING(B6/15000&amp;#44;1)</f>
        <v/>
      </c>
    </row>
    <row r="13">
      <c r="A13" t="inlineStr">
        <is>
          <t>B柱必要契約数</t>
        </is>
      </c>
      <c r="B13" t="inlineStr">
        <is>
          <t>6</t>
        </is>
      </c>
      <c r="C13">
        <f>CEILING(B6/50000&amp;#44;1)</f>
        <v/>
      </c>
    </row>
    <row r="14">
      <c r="A14" t="inlineStr">
        <is>
          <t>C柱必要販売数</t>
        </is>
      </c>
      <c r="B14" t="inlineStr">
        <is>
          <t>306</t>
        </is>
      </c>
      <c r="C14">
        <f>CEILING(B6/980&amp;#44;1)</f>
        <v/>
      </c>
    </row>
    <row r="15">
      <c r="A15" t="inlineStr">
        <is>
          <t>D柱必要案件数</t>
        </is>
      </c>
      <c r="B15" t="inlineStr">
        <is>
          <t>20</t>
        </is>
      </c>
      <c r="C15">
        <f>CEILING(B6/15000&amp;#44;1)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取引日</t>
        </is>
      </c>
      <c r="B1" s="1" t="inlineStr">
        <is>
          <t>柱</t>
        </is>
      </c>
      <c r="C1" s="1" t="inlineStr">
        <is>
          <t>クライアント</t>
        </is>
      </c>
      <c r="D1" s="1" t="inlineStr">
        <is>
          <t>案件名</t>
        </is>
      </c>
      <c r="E1" s="1" t="inlineStr">
        <is>
          <t>金額（税抜）</t>
        </is>
      </c>
      <c r="F1" s="1" t="inlineStr">
        <is>
          <t>入金状態</t>
        </is>
      </c>
      <c r="G1" s="1" t="inlineStr">
        <is>
          <t>入金日</t>
        </is>
      </c>
      <c r="H1" s="1" t="inlineStr">
        <is>
          <t>備考</t>
        </is>
      </c>
    </row>
    <row r="2">
      <c r="A2" t="inlineStr">
        <is>
          <t>2026-05-01</t>
        </is>
      </c>
      <c r="B2" t="inlineStr">
        <is>
          <t>C</t>
        </is>
      </c>
      <c r="C2" t="inlineStr">
        <is>
          <t>note購入者</t>
        </is>
      </c>
      <c r="D2" t="inlineStr">
        <is>
          <t>Vol.1 収支管理スプレッドシート</t>
        </is>
      </c>
      <c r="E2" t="inlineStr">
        <is>
          <t>980</t>
        </is>
      </c>
      <c r="F2" t="inlineStr">
        <is>
          <t>入金済</t>
        </is>
      </c>
      <c r="G2" t="inlineStr">
        <is>
          <t>2026-06-15</t>
        </is>
      </c>
      <c r="H2" t="inlineStr"/>
    </row>
    <row r="3">
      <c r="A3" t="inlineStr">
        <is>
          <t>2026-05-03</t>
        </is>
      </c>
      <c r="B3" t="inlineStr">
        <is>
          <t>C</t>
        </is>
      </c>
      <c r="C3" t="inlineStr">
        <is>
          <t>note購入者</t>
        </is>
      </c>
      <c r="D3" t="inlineStr">
        <is>
          <t>Vol.1 収支管理スプレッドシート</t>
        </is>
      </c>
      <c r="E3" t="inlineStr">
        <is>
          <t>980</t>
        </is>
      </c>
      <c r="F3" t="inlineStr">
        <is>
          <t>入金済</t>
        </is>
      </c>
      <c r="G3" t="inlineStr">
        <is>
          <t>2026-06-15</t>
        </is>
      </c>
      <c r="H3" t="inlineStr"/>
    </row>
    <row r="4">
      <c r="A4" t="inlineStr">
        <is>
          <t>2026-05-05</t>
        </is>
      </c>
      <c r="B4" t="inlineStr">
        <is>
          <t>A</t>
        </is>
      </c>
      <c r="C4" t="inlineStr">
        <is>
          <t>（記入例）株式会社XXX</t>
        </is>
      </c>
      <c r="D4" t="inlineStr">
        <is>
          <t>SEO記事5本</t>
        </is>
      </c>
      <c r="E4" t="inlineStr">
        <is>
          <t>75000</t>
        </is>
      </c>
      <c r="F4" t="inlineStr">
        <is>
          <t>請求済</t>
        </is>
      </c>
      <c r="G4" t="inlineStr"/>
      <c r="H4" t="inlineStr"/>
    </row>
    <row r="5">
      <c r="A5" t="inlineStr">
        <is>
          <t>2026-05-10</t>
        </is>
      </c>
      <c r="B5" t="inlineStr">
        <is>
          <t>B</t>
        </is>
      </c>
      <c r="C5" t="inlineStr">
        <is>
          <t>（記入例）YY商店</t>
        </is>
      </c>
      <c r="D5" t="inlineStr">
        <is>
          <t>SNS運用代行 5月分</t>
        </is>
      </c>
      <c r="E5" t="inlineStr">
        <is>
          <t>50000</t>
        </is>
      </c>
      <c r="F5" t="inlineStr">
        <is>
          <t>請求済</t>
        </is>
      </c>
      <c r="G5" t="inlineStr"/>
      <c r="H5" t="inlineStr"/>
    </row>
    <row r="6">
      <c r="A6" t="inlineStr">
        <is>
          <t>2026-05-15</t>
        </is>
      </c>
      <c r="B6" t="inlineStr">
        <is>
          <t>D</t>
        </is>
      </c>
      <c r="C6" t="inlineStr">
        <is>
          <t>（記入例）ZZ会社</t>
        </is>
      </c>
      <c r="D6" t="inlineStr">
        <is>
          <t>Excelデータ入力300件</t>
        </is>
      </c>
      <c r="E6" t="inlineStr">
        <is>
          <t>15000</t>
        </is>
      </c>
      <c r="F6" t="inlineStr">
        <is>
          <t>入金済</t>
        </is>
      </c>
      <c r="G6" t="inlineStr">
        <is>
          <t>2026-05-20</t>
        </is>
      </c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年月</t>
        </is>
      </c>
      <c r="B1" s="1" t="inlineStr">
        <is>
          <t>A_SEOライティング</t>
        </is>
      </c>
      <c r="C1" s="1" t="inlineStr">
        <is>
          <t>B_SNS運用代行</t>
        </is>
      </c>
      <c r="D1" s="1" t="inlineStr">
        <is>
          <t>C_テンプレ販売</t>
        </is>
      </c>
      <c r="E1" s="1" t="inlineStr">
        <is>
          <t>D_データ入力代行</t>
        </is>
      </c>
      <c r="F1" s="1" t="inlineStr">
        <is>
          <t>月合計</t>
        </is>
      </c>
      <c r="G1" s="1" t="inlineStr">
        <is>
          <t>目標</t>
        </is>
      </c>
      <c r="H1" s="1" t="inlineStr">
        <is>
          <t>達成率</t>
        </is>
      </c>
    </row>
    <row r="2">
      <c r="A2" t="inlineStr">
        <is>
          <t>2026-04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0%</t>
        </is>
      </c>
    </row>
    <row r="3">
      <c r="A3" t="inlineStr">
        <is>
          <t>2026-05</t>
        </is>
      </c>
      <c r="B3" t="inlineStr">
        <is>
          <t>75000</t>
        </is>
      </c>
      <c r="C3" t="inlineStr">
        <is>
          <t>50000</t>
        </is>
      </c>
      <c r="D3" t="inlineStr">
        <is>
          <t>1960</t>
        </is>
      </c>
      <c r="E3" t="inlineStr">
        <is>
          <t>15000</t>
        </is>
      </c>
      <c r="F3" t="inlineStr">
        <is>
          <t>141960</t>
        </is>
      </c>
      <c r="G3" t="inlineStr">
        <is>
          <t>300000</t>
        </is>
      </c>
      <c r="H3" t="inlineStr">
        <is>
          <t>47.3%</t>
        </is>
      </c>
    </row>
    <row r="4">
      <c r="A4" t="inlineStr">
        <is>
          <t>2026-06</t>
        </is>
      </c>
      <c r="B4" t="inlineStr">
        <is>
          <t>150000</t>
        </is>
      </c>
      <c r="C4" t="inlineStr">
        <is>
          <t>100000</t>
        </is>
      </c>
      <c r="D4" t="inlineStr">
        <is>
          <t>30000</t>
        </is>
      </c>
      <c r="E4" t="inlineStr">
        <is>
          <t>50000</t>
        </is>
      </c>
      <c r="F4" t="inlineStr">
        <is>
          <t>330000</t>
        </is>
      </c>
      <c r="G4" t="inlineStr">
        <is>
          <t>300000</t>
        </is>
      </c>
      <c r="H4" t="inlineStr">
        <is>
          <t>110%</t>
        </is>
      </c>
    </row>
    <row r="5">
      <c r="A5" t="inlineStr">
        <is>
          <t>2026-07</t>
        </is>
      </c>
      <c r="B5" t="inlineStr">
        <is>
          <t>225000</t>
        </is>
      </c>
      <c r="C5" t="inlineStr">
        <is>
          <t>150000</t>
        </is>
      </c>
      <c r="D5" t="inlineStr">
        <is>
          <t>80000</t>
        </is>
      </c>
      <c r="E5" t="inlineStr">
        <is>
          <t>100000</t>
        </is>
      </c>
      <c r="F5" t="inlineStr">
        <is>
          <t>555000</t>
        </is>
      </c>
      <c r="G5" t="inlineStr">
        <is>
          <t>300000</t>
        </is>
      </c>
      <c r="H5" t="inlineStr">
        <is>
          <t>185%</t>
        </is>
      </c>
    </row>
    <row r="6">
      <c r="A6" t="inlineStr">
        <is>
          <t>2026-08</t>
        </is>
      </c>
      <c r="B6" t="inlineStr">
        <is>
          <t>225000</t>
        </is>
      </c>
      <c r="C6" t="inlineStr">
        <is>
          <t>200000</t>
        </is>
      </c>
      <c r="D6" t="inlineStr">
        <is>
          <t>120000</t>
        </is>
      </c>
      <c r="E6" t="inlineStr">
        <is>
          <t>100000</t>
        </is>
      </c>
      <c r="F6" t="inlineStr">
        <is>
          <t>645000</t>
        </is>
      </c>
      <c r="G6" t="inlineStr">
        <is>
          <t>300000</t>
        </is>
      </c>
      <c r="H6" t="inlineStr">
        <is>
          <t>215%</t>
        </is>
      </c>
    </row>
    <row r="7">
      <c r="A7" t="inlineStr">
        <is>
          <t>2026-09</t>
        </is>
      </c>
      <c r="B7" t="inlineStr">
        <is>
          <t>225000</t>
        </is>
      </c>
      <c r="C7" t="inlineStr">
        <is>
          <t>200000</t>
        </is>
      </c>
      <c r="D7" t="inlineStr">
        <is>
          <t>150000</t>
        </is>
      </c>
      <c r="E7" t="inlineStr">
        <is>
          <t>100000</t>
        </is>
      </c>
      <c r="F7" t="inlineStr">
        <is>
          <t>675000</t>
        </is>
      </c>
      <c r="G7" t="inlineStr">
        <is>
          <t>300000</t>
        </is>
      </c>
      <c r="H7" t="inlineStr">
        <is>
          <t>225%</t>
        </is>
      </c>
    </row>
    <row r="8">
      <c r="A8" t="inlineStr">
        <is>
          <t>2026-10</t>
        </is>
      </c>
      <c r="B8" t="inlineStr">
        <is>
          <t>225000</t>
        </is>
      </c>
      <c r="C8" t="inlineStr">
        <is>
          <t>200000</t>
        </is>
      </c>
      <c r="D8" t="inlineStr">
        <is>
          <t>180000</t>
        </is>
      </c>
      <c r="E8" t="inlineStr">
        <is>
          <t>100000</t>
        </is>
      </c>
      <c r="F8" t="inlineStr">
        <is>
          <t>705000</t>
        </is>
      </c>
      <c r="G8" t="inlineStr">
        <is>
          <t>300000</t>
        </is>
      </c>
      <c r="H8" t="inlineStr">
        <is>
          <t>235%</t>
        </is>
      </c>
    </row>
    <row r="9">
      <c r="A9" t="inlineStr">
        <is>
          <t>2026-11</t>
        </is>
      </c>
      <c r="B9" t="inlineStr">
        <is>
          <t>225000</t>
        </is>
      </c>
      <c r="C9" t="inlineStr">
        <is>
          <t>200000</t>
        </is>
      </c>
      <c r="D9" t="inlineStr">
        <is>
          <t>200000</t>
        </is>
      </c>
      <c r="E9" t="inlineStr">
        <is>
          <t>100000</t>
        </is>
      </c>
      <c r="F9" t="inlineStr">
        <is>
          <t>725000</t>
        </is>
      </c>
      <c r="G9" t="inlineStr">
        <is>
          <t>300000</t>
        </is>
      </c>
      <c r="H9" t="inlineStr">
        <is>
          <t>242%</t>
        </is>
      </c>
    </row>
    <row r="10">
      <c r="A10" t="inlineStr">
        <is>
          <t>2026-12</t>
        </is>
      </c>
      <c r="B10" t="inlineStr">
        <is>
          <t>225000</t>
        </is>
      </c>
      <c r="C10" t="inlineStr">
        <is>
          <t>200000</t>
        </is>
      </c>
      <c r="D10" t="inlineStr">
        <is>
          <t>250000</t>
        </is>
      </c>
      <c r="E10" t="inlineStr">
        <is>
          <t>100000</t>
        </is>
      </c>
      <c r="F10" t="inlineStr">
        <is>
          <t>775000</t>
        </is>
      </c>
      <c r="G10" t="inlineStr">
        <is>
          <t>300000</t>
        </is>
      </c>
      <c r="H10" t="inlineStr">
        <is>
          <t>258%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月</t>
        </is>
      </c>
      <c r="B1" s="1" t="inlineStr">
        <is>
          <t>売上（実績）</t>
        </is>
      </c>
      <c r="C1" s="1" t="inlineStr">
        <is>
          <t>累計売上</t>
        </is>
      </c>
      <c r="D1" s="1" t="inlineStr">
        <is>
          <t>月別目標</t>
        </is>
      </c>
      <c r="E1" s="1" t="inlineStr">
        <is>
          <t>累計目標</t>
        </is>
      </c>
      <c r="F1" s="1" t="inlineStr">
        <is>
          <t>差分</t>
        </is>
      </c>
      <c r="G1" s="1" t="inlineStr">
        <is>
          <t>進捗率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0%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0%</t>
        </is>
      </c>
    </row>
    <row r="4">
      <c r="A4" t="inlineStr">
        <is>
          <t>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0%</t>
        </is>
      </c>
    </row>
    <row r="5">
      <c r="A5" t="inlineStr">
        <is>
          <t>4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0%</t>
        </is>
      </c>
    </row>
    <row r="6">
      <c r="A6" t="inlineStr">
        <is>
          <t>5</t>
        </is>
      </c>
      <c r="B6" t="inlineStr">
        <is>
          <t>141960</t>
        </is>
      </c>
      <c r="C6" t="inlineStr">
        <is>
          <t>141960</t>
        </is>
      </c>
      <c r="D6" t="inlineStr">
        <is>
          <t>300000</t>
        </is>
      </c>
      <c r="E6" t="inlineStr">
        <is>
          <t>300000</t>
        </is>
      </c>
      <c r="F6" t="inlineStr">
        <is>
          <t>-158040</t>
        </is>
      </c>
      <c r="G6" t="inlineStr">
        <is>
          <t>3.9%</t>
        </is>
      </c>
    </row>
    <row r="7">
      <c r="A7" t="inlineStr">
        <is>
          <t>6</t>
        </is>
      </c>
      <c r="B7" t="inlineStr">
        <is>
          <t>330000</t>
        </is>
      </c>
      <c r="C7" t="inlineStr">
        <is>
          <t>471960</t>
        </is>
      </c>
      <c r="D7" t="inlineStr">
        <is>
          <t>300000</t>
        </is>
      </c>
      <c r="E7" t="inlineStr">
        <is>
          <t>600000</t>
        </is>
      </c>
      <c r="F7" t="inlineStr">
        <is>
          <t>-128040</t>
        </is>
      </c>
      <c r="G7" t="inlineStr">
        <is>
          <t>13.1%</t>
        </is>
      </c>
    </row>
    <row r="8">
      <c r="A8" t="inlineStr">
        <is>
          <t>7</t>
        </is>
      </c>
      <c r="B8" t="inlineStr">
        <is>
          <t>555000</t>
        </is>
      </c>
      <c r="C8" t="inlineStr">
        <is>
          <t>1026960</t>
        </is>
      </c>
      <c r="D8" t="inlineStr">
        <is>
          <t>300000</t>
        </is>
      </c>
      <c r="E8" t="inlineStr">
        <is>
          <t>900000</t>
        </is>
      </c>
      <c r="F8" t="inlineStr">
        <is>
          <t>126960</t>
        </is>
      </c>
      <c r="G8" t="inlineStr">
        <is>
          <t>28.5%</t>
        </is>
      </c>
    </row>
    <row r="9">
      <c r="A9" t="inlineStr">
        <is>
          <t>8</t>
        </is>
      </c>
      <c r="B9" t="inlineStr">
        <is>
          <t>645000</t>
        </is>
      </c>
      <c r="C9" t="inlineStr">
        <is>
          <t>1671960</t>
        </is>
      </c>
      <c r="D9" t="inlineStr">
        <is>
          <t>300000</t>
        </is>
      </c>
      <c r="E9" t="inlineStr">
        <is>
          <t>1200000</t>
        </is>
      </c>
      <c r="F9" t="inlineStr">
        <is>
          <t>471960</t>
        </is>
      </c>
      <c r="G9" t="inlineStr">
        <is>
          <t>46.4%</t>
        </is>
      </c>
    </row>
    <row r="10">
      <c r="A10" t="inlineStr">
        <is>
          <t>9</t>
        </is>
      </c>
      <c r="B10" t="inlineStr">
        <is>
          <t>675000</t>
        </is>
      </c>
      <c r="C10" t="inlineStr">
        <is>
          <t>2346960</t>
        </is>
      </c>
      <c r="D10" t="inlineStr">
        <is>
          <t>300000</t>
        </is>
      </c>
      <c r="E10" t="inlineStr">
        <is>
          <t>1500000</t>
        </is>
      </c>
      <c r="F10" t="inlineStr">
        <is>
          <t>846960</t>
        </is>
      </c>
      <c r="G10" t="inlineStr">
        <is>
          <t>65.2%</t>
        </is>
      </c>
    </row>
    <row r="11">
      <c r="A11" t="inlineStr">
        <is>
          <t>10</t>
        </is>
      </c>
      <c r="B11" t="inlineStr">
        <is>
          <t>705000</t>
        </is>
      </c>
      <c r="C11" t="inlineStr">
        <is>
          <t>3051960</t>
        </is>
      </c>
      <c r="D11" t="inlineStr">
        <is>
          <t>300000</t>
        </is>
      </c>
      <c r="E11" t="inlineStr">
        <is>
          <t>1800000</t>
        </is>
      </c>
      <c r="F11" t="inlineStr">
        <is>
          <t>1251960</t>
        </is>
      </c>
      <c r="G11" t="inlineStr">
        <is>
          <t>84.8%</t>
        </is>
      </c>
    </row>
    <row r="12">
      <c r="A12" t="inlineStr">
        <is>
          <t>11</t>
        </is>
      </c>
      <c r="B12" t="inlineStr">
        <is>
          <t>725000</t>
        </is>
      </c>
      <c r="C12" t="inlineStr">
        <is>
          <t>3776960</t>
        </is>
      </c>
      <c r="D12" t="inlineStr">
        <is>
          <t>300000</t>
        </is>
      </c>
      <c r="E12" t="inlineStr">
        <is>
          <t>2100000</t>
        </is>
      </c>
      <c r="F12" t="inlineStr">
        <is>
          <t>1676960</t>
        </is>
      </c>
      <c r="G12" t="inlineStr">
        <is>
          <t>104.9%</t>
        </is>
      </c>
    </row>
    <row r="13">
      <c r="A13" t="inlineStr">
        <is>
          <t>12</t>
        </is>
      </c>
      <c r="B13" t="inlineStr">
        <is>
          <t>775000</t>
        </is>
      </c>
      <c r="C13" t="inlineStr">
        <is>
          <t>4551960</t>
        </is>
      </c>
      <c r="D13" t="inlineStr">
        <is>
          <t>300000</t>
        </is>
      </c>
      <c r="E13" t="inlineStr">
        <is>
          <t>2400000</t>
        </is>
      </c>
      <c r="F13" t="inlineStr">
        <is>
          <t>2151960</t>
        </is>
      </c>
      <c r="G13" t="inlineStr">
        <is>
          <t>126.4%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2026-05-06T08:51:04Z</dcterms:created>
  <dcterms:modified xsi:type="dcterms:W3CDTF">2026-05-06T08:51:04Z</dcterms:modified>
</cp:coreProperties>
</file>