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収支入力" sheetId="1" state="visible" r:id="rId1"/>
    <sheet name="月次集計" sheetId="2" state="visible" r:id="rId2"/>
    <sheet name="年間サマリ" sheetId="3" state="visible" r:id="rId3"/>
    <sheet name="経費科目チートシート" sheetId="4" state="visible" r:id="rId4"/>
    <sheet name="青色vs白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9F8"/>
        <bgColor rgb="00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区分</t>
        </is>
      </c>
      <c r="C1" s="1" t="inlineStr">
        <is>
          <t>取引先・支払先</t>
        </is>
      </c>
      <c r="D1" s="1" t="inlineStr">
        <is>
          <t>内容</t>
        </is>
      </c>
      <c r="E1" s="1" t="inlineStr">
        <is>
          <t>経費科目</t>
        </is>
      </c>
      <c r="F1" s="1" t="inlineStr">
        <is>
          <t>金額</t>
        </is>
      </c>
      <c r="G1" s="1" t="inlineStr">
        <is>
          <t>消費税区分</t>
        </is>
      </c>
      <c r="H1" s="1" t="inlineStr">
        <is>
          <t>支払方法</t>
        </is>
      </c>
      <c r="I1" s="1" t="inlineStr">
        <is>
          <t>領収書有無</t>
        </is>
      </c>
      <c r="J1" s="1" t="inlineStr">
        <is>
          <t>備考</t>
        </is>
      </c>
    </row>
    <row r="2">
      <c r="A2" t="inlineStr">
        <is>
          <t>2026-01-05</t>
        </is>
      </c>
      <c r="B2" t="inlineStr">
        <is>
          <t>収入</t>
        </is>
      </c>
      <c r="C2" t="inlineStr">
        <is>
          <t>株式会社サンプル</t>
        </is>
      </c>
      <c r="D2" t="inlineStr">
        <is>
          <t>SEO記事5本</t>
        </is>
      </c>
      <c r="E2" t="inlineStr"/>
      <c r="F2" t="inlineStr">
        <is>
          <t>75000</t>
        </is>
      </c>
      <c r="G2" t="inlineStr">
        <is>
          <t>課税10%</t>
        </is>
      </c>
      <c r="H2" t="inlineStr">
        <is>
          <t>振込</t>
        </is>
      </c>
      <c r="I2" t="inlineStr">
        <is>
          <t>☐</t>
        </is>
      </c>
      <c r="J2" t="inlineStr"/>
    </row>
    <row r="3">
      <c r="A3" t="inlineStr">
        <is>
          <t>2026-01-08</t>
        </is>
      </c>
      <c r="B3" t="inlineStr">
        <is>
          <t>経費</t>
        </is>
      </c>
      <c r="C3" t="inlineStr">
        <is>
          <t>Anthropic</t>
        </is>
      </c>
      <c r="D3" t="inlineStr">
        <is>
          <t>Claude API利用料</t>
        </is>
      </c>
      <c r="E3" t="inlineStr">
        <is>
          <t>通信費</t>
        </is>
      </c>
      <c r="F3" t="inlineStr">
        <is>
          <t>3300</t>
        </is>
      </c>
      <c r="G3" t="inlineStr">
        <is>
          <t>課税10%</t>
        </is>
      </c>
      <c r="H3" t="inlineStr">
        <is>
          <t>カード</t>
        </is>
      </c>
      <c r="I3" t="inlineStr">
        <is>
          <t>☐</t>
        </is>
      </c>
      <c r="J3" t="inlineStr">
        <is>
          <t>事業使用率100%</t>
        </is>
      </c>
    </row>
    <row r="4">
      <c r="A4" t="inlineStr">
        <is>
          <t>2026-01-10</t>
        </is>
      </c>
      <c r="B4" t="inlineStr">
        <is>
          <t>経費</t>
        </is>
      </c>
      <c r="C4" t="inlineStr">
        <is>
          <t>Adobe</t>
        </is>
      </c>
      <c r="D4" t="inlineStr">
        <is>
          <t>Photoshop月額</t>
        </is>
      </c>
      <c r="E4" t="inlineStr">
        <is>
          <t>消耗品費</t>
        </is>
      </c>
      <c r="F4" t="inlineStr">
        <is>
          <t>2728</t>
        </is>
      </c>
      <c r="G4" t="inlineStr">
        <is>
          <t>課税10%</t>
        </is>
      </c>
      <c r="H4" t="inlineStr">
        <is>
          <t>カード</t>
        </is>
      </c>
      <c r="I4" t="inlineStr">
        <is>
          <t>☐</t>
        </is>
      </c>
      <c r="J4" t="inlineStr"/>
    </row>
    <row r="5">
      <c r="A5" t="inlineStr">
        <is>
          <t>2026-01-15</t>
        </is>
      </c>
      <c r="B5" t="inlineStr">
        <is>
          <t>経費</t>
        </is>
      </c>
      <c r="C5" t="inlineStr">
        <is>
          <t>JR東日本</t>
        </is>
      </c>
      <c r="D5" t="inlineStr">
        <is>
          <t>客先打合せ交通費</t>
        </is>
      </c>
      <c r="E5" t="inlineStr">
        <is>
          <t>旅費交通費</t>
        </is>
      </c>
      <c r="F5" t="inlineStr">
        <is>
          <t>1240</t>
        </is>
      </c>
      <c r="G5" t="inlineStr">
        <is>
          <t>課税10%</t>
        </is>
      </c>
      <c r="H5" t="inlineStr">
        <is>
          <t>現金</t>
        </is>
      </c>
      <c r="I5" t="inlineStr">
        <is>
          <t>☐</t>
        </is>
      </c>
      <c r="J5" t="inlineStr">
        <is>
          <t>品川駅往復</t>
        </is>
      </c>
    </row>
    <row r="6">
      <c r="A6" t="inlineStr">
        <is>
          <t>2026-01-20</t>
        </is>
      </c>
      <c r="B6" t="inlineStr">
        <is>
          <t>経費</t>
        </is>
      </c>
      <c r="C6" t="inlineStr">
        <is>
          <t>カフェXX</t>
        </is>
      </c>
      <c r="D6" t="inlineStr">
        <is>
          <t>打合せ飲食代</t>
        </is>
      </c>
      <c r="E6" t="inlineStr">
        <is>
          <t>会議費</t>
        </is>
      </c>
      <c r="F6" t="inlineStr">
        <is>
          <t>1500</t>
        </is>
      </c>
      <c r="G6" t="inlineStr">
        <is>
          <t>課税10%</t>
        </is>
      </c>
      <c r="H6" t="inlineStr">
        <is>
          <t>現金</t>
        </is>
      </c>
      <c r="I6" t="inlineStr">
        <is>
          <t>☐</t>
        </is>
      </c>
      <c r="J6" t="inlineStr">
        <is>
          <t>A社B様と</t>
        </is>
      </c>
    </row>
    <row r="7">
      <c r="A7" t="inlineStr">
        <is>
          <t>2026-01-25</t>
        </is>
      </c>
      <c r="B7" t="inlineStr">
        <is>
          <t>経費</t>
        </is>
      </c>
      <c r="C7" t="inlineStr">
        <is>
          <t>文具店</t>
        </is>
      </c>
      <c r="D7" t="inlineStr">
        <is>
          <t>プリンタインク</t>
        </is>
      </c>
      <c r="E7" t="inlineStr">
        <is>
          <t>消耗品費</t>
        </is>
      </c>
      <c r="F7" t="inlineStr">
        <is>
          <t>3800</t>
        </is>
      </c>
      <c r="G7" t="inlineStr">
        <is>
          <t>課税10%</t>
        </is>
      </c>
      <c r="H7" t="inlineStr">
        <is>
          <t>現金</t>
        </is>
      </c>
      <c r="I7" t="inlineStr">
        <is>
          <t>☐</t>
        </is>
      </c>
      <c r="J7" t="inlineStr"/>
    </row>
    <row r="8">
      <c r="A8" t="inlineStr">
        <is>
          <t>2026-01-31</t>
        </is>
      </c>
      <c r="B8" t="inlineStr">
        <is>
          <t>経費</t>
        </is>
      </c>
      <c r="C8" t="inlineStr">
        <is>
          <t>東京電力</t>
        </is>
      </c>
      <c r="D8" t="inlineStr">
        <is>
          <t>電気代（按分30%）</t>
        </is>
      </c>
      <c r="E8" t="inlineStr">
        <is>
          <t>水道光熱費</t>
        </is>
      </c>
      <c r="F8" t="inlineStr">
        <is>
          <t>2700</t>
        </is>
      </c>
      <c r="G8" t="inlineStr">
        <is>
          <t>課税10%</t>
        </is>
      </c>
      <c r="H8" t="inlineStr">
        <is>
          <t>口座振替</t>
        </is>
      </c>
      <c r="I8" t="inlineStr">
        <is>
          <t>☐</t>
        </is>
      </c>
      <c r="J8" t="inlineStr">
        <is>
          <t>事務所按分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経費科目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合計</t>
        </is>
      </c>
    </row>
    <row r="2">
      <c r="A2" t="inlineStr">
        <is>
          <t>旅費交通費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通信費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接待交際費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消耗品費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新聞図書費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会議費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広告宣伝費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支払手数料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地代家賃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水道光熱費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減価償却費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雑費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合計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21" customWidth="1" min="4" max="4"/>
    <col width="18" customWidth="1" min="5" max="5"/>
    <col width="12" customWidth="1" min="6" max="6"/>
  </cols>
  <sheetData>
    <row r="1">
      <c r="A1" s="1" t="inlineStr">
        <is>
          <t>項目</t>
        </is>
      </c>
      <c r="B1" s="1" t="inlineStr">
        <is>
          <t>金額</t>
        </is>
      </c>
      <c r="C1" s="1" t="inlineStr">
        <is>
          <t>計算式・備考</t>
        </is>
      </c>
    </row>
    <row r="2">
      <c r="A2" t="inlineStr">
        <is>
          <t>売上合計</t>
        </is>
      </c>
      <c r="B2" t="inlineStr">
        <is>
          <t>0</t>
        </is>
      </c>
      <c r="C2">
        <f>SUMIFS(取引!F:F&amp;#44;取引!B:B&amp;#44;"収入")</f>
        <v/>
      </c>
    </row>
    <row r="3">
      <c r="A3" t="inlineStr">
        <is>
          <t>経費合計</t>
        </is>
      </c>
      <c r="B3" t="inlineStr">
        <is>
          <t>0</t>
        </is>
      </c>
      <c r="C3">
        <f>SUMIFS(取引!F:F&amp;#44;取引!B:B&amp;#44;"経費")</f>
        <v/>
      </c>
    </row>
    <row r="4">
      <c r="A4" t="inlineStr">
        <is>
          <t>所得金額</t>
        </is>
      </c>
      <c r="B4" t="inlineStr">
        <is>
          <t>0</t>
        </is>
      </c>
      <c r="C4">
        <f>売上合計-経費合計</f>
        <v/>
      </c>
    </row>
    <row r="5">
      <c r="A5" t="inlineStr">
        <is>
          <t>青色申告特別控除</t>
        </is>
      </c>
      <c r="B5" t="inlineStr">
        <is>
          <t>650000</t>
        </is>
      </c>
      <c r="C5" t="inlineStr">
        <is>
          <t>e-Taxの場合65万円</t>
        </is>
      </c>
    </row>
    <row r="6">
      <c r="A6" t="inlineStr">
        <is>
          <t>課税所得</t>
        </is>
      </c>
      <c r="B6" t="inlineStr">
        <is>
          <t>0</t>
        </is>
      </c>
      <c r="C6">
        <f>所得金額-青色申告特別控除-基礎控除480000</f>
        <v/>
      </c>
    </row>
    <row r="7">
      <c r="A7" t="inlineStr">
        <is>
          <t>所得税（5%帯）</t>
        </is>
      </c>
      <c r="B7" t="inlineStr">
        <is>
          <t>0</t>
        </is>
      </c>
      <c r="C7">
        <f>IF(課税所得&lt;=1950000</f>
        <v/>
      </c>
      <c r="D7" t="inlineStr">
        <is>
          <t>課税所得*0.05</t>
        </is>
      </c>
      <c r="E7" t="inlineStr">
        <is>
          <t>0)</t>
        </is>
      </c>
    </row>
    <row r="8">
      <c r="A8" t="inlineStr">
        <is>
          <t>所得税（10%帯）</t>
        </is>
      </c>
      <c r="B8" t="inlineStr">
        <is>
          <t>0</t>
        </is>
      </c>
      <c r="C8">
        <f>IF(AND(課税所得&gt;1950000</f>
        <v/>
      </c>
      <c r="D8" t="inlineStr">
        <is>
          <t>課税所得&lt;=3300000)</t>
        </is>
      </c>
      <c r="E8" t="inlineStr">
        <is>
          <t>課税所得*0.10-97500</t>
        </is>
      </c>
      <c r="F8" t="inlineStr">
        <is>
          <t>0)</t>
        </is>
      </c>
    </row>
    <row r="9">
      <c r="A9" t="inlineStr">
        <is>
          <t>所得税（20%帯）</t>
        </is>
      </c>
      <c r="B9" t="inlineStr">
        <is>
          <t>0</t>
        </is>
      </c>
      <c r="C9">
        <f>IF(AND(課税所得&gt;3300000</f>
        <v/>
      </c>
      <c r="D9" t="inlineStr">
        <is>
          <t>課税所得&lt;=6950000)</t>
        </is>
      </c>
      <c r="E9" t="inlineStr">
        <is>
          <t>課税所得*0.20-427500</t>
        </is>
      </c>
      <c r="F9" t="inlineStr">
        <is>
          <t>0)</t>
        </is>
      </c>
    </row>
    <row r="10">
      <c r="A10" t="inlineStr">
        <is>
          <t>住民税概算</t>
        </is>
      </c>
      <c r="B10" t="inlineStr">
        <is>
          <t>0</t>
        </is>
      </c>
      <c r="C10">
        <f>課税所得*0.10</f>
        <v/>
      </c>
    </row>
    <row r="11">
      <c r="A11" t="inlineStr">
        <is>
          <t>事業税概算</t>
        </is>
      </c>
      <c r="B11" t="inlineStr">
        <is>
          <t>0</t>
        </is>
      </c>
      <c r="C11">
        <f>IF(所得金額&gt;2900000</f>
        <v/>
      </c>
      <c r="D11" t="inlineStr">
        <is>
          <t>(所得金額-2900000)*0.05</t>
        </is>
      </c>
      <c r="E11" t="inlineStr">
        <is>
          <t>0)</t>
        </is>
      </c>
    </row>
    <row r="12">
      <c r="A12" t="inlineStr">
        <is>
          <t>税額合計</t>
        </is>
      </c>
      <c r="B12" t="inlineStr">
        <is>
          <t>0</t>
        </is>
      </c>
      <c r="C12">
        <f>所得税+住民税+事業税</f>
        <v/>
      </c>
    </row>
    <row r="13">
      <c r="A13" t="inlineStr">
        <is>
          <t>手取り</t>
        </is>
      </c>
      <c r="B13" t="inlineStr">
        <is>
          <t>0</t>
        </is>
      </c>
      <c r="C13">
        <f>所得金額-税額合計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2" customWidth="1" min="5" max="5"/>
  </cols>
  <sheetData>
    <row r="1">
      <c r="A1" s="1" t="inlineStr">
        <is>
          <t>経費科目</t>
        </is>
      </c>
      <c r="B1" s="1" t="inlineStr">
        <is>
          <t>OK な例</t>
        </is>
      </c>
      <c r="C1" s="1" t="inlineStr">
        <is>
          <t>NG な例</t>
        </is>
      </c>
      <c r="D1" s="1" t="inlineStr">
        <is>
          <t>注意点・按分の目安</t>
        </is>
      </c>
    </row>
    <row r="2">
      <c r="A2" t="inlineStr">
        <is>
          <t>旅費交通費</t>
        </is>
      </c>
      <c r="B2" t="inlineStr">
        <is>
          <t>仕事の電車・タクシー・宿泊</t>
        </is>
      </c>
      <c r="C2" t="inlineStr">
        <is>
          <t>プライベート旅行</t>
        </is>
      </c>
      <c r="D2" t="inlineStr">
        <is>
          <t>出張記録（日付・行先・目的）を残す</t>
        </is>
      </c>
    </row>
    <row r="3">
      <c r="A3" t="inlineStr">
        <is>
          <t>通信費</t>
        </is>
      </c>
      <c r="B3" t="inlineStr">
        <is>
          <t>仕事用スマホ・ネット回線</t>
        </is>
      </c>
      <c r="C3" t="inlineStr">
        <is>
          <t>100%家庭用通信費</t>
        </is>
      </c>
      <c r="D3" t="inlineStr">
        <is>
          <t>事業使用率で按分（30〜70%目安）</t>
        </is>
      </c>
    </row>
    <row r="4">
      <c r="A4" t="inlineStr">
        <is>
          <t>接待交際費</t>
        </is>
      </c>
      <c r="B4" t="inlineStr">
        <is>
          <t>取引先との会食・贈答</t>
        </is>
      </c>
      <c r="C4" t="inlineStr">
        <is>
          <t>友人との飲み会</t>
        </is>
      </c>
      <c r="D4" t="inlineStr">
        <is>
          <t>相手の名前・社名・目的を記録</t>
        </is>
      </c>
    </row>
    <row r="5">
      <c r="A5" t="inlineStr">
        <is>
          <t>消耗品費</t>
        </is>
      </c>
      <c r="B5" t="inlineStr">
        <is>
          <t>文具・USBメモリ・PC周辺機器</t>
        </is>
      </c>
      <c r="C5" t="inlineStr">
        <is>
          <t>10万円以上のPC</t>
        </is>
      </c>
      <c r="D5" t="inlineStr">
        <is>
          <t>10万円超は減価償却の対象</t>
        </is>
      </c>
    </row>
    <row r="6">
      <c r="A6" t="inlineStr">
        <is>
          <t>新聞図書費</t>
        </is>
      </c>
      <c r="B6" t="inlineStr">
        <is>
          <t>仕事関連の本・有料記事・新聞</t>
        </is>
      </c>
      <c r="C6" t="inlineStr">
        <is>
          <t>漫画・小説・雑誌（業務外）</t>
        </is>
      </c>
      <c r="D6" t="inlineStr">
        <is>
          <t>レシート・購入記録を保存</t>
        </is>
      </c>
    </row>
    <row r="7">
      <c r="A7" t="inlineStr">
        <is>
          <t>会議費</t>
        </is>
      </c>
      <c r="B7" t="inlineStr">
        <is>
          <t>打ち合わせのカフェ代・会議室代</t>
        </is>
      </c>
      <c r="C7" t="inlineStr">
        <is>
          <t>プライベート利用</t>
        </is>
      </c>
      <c r="D7" t="inlineStr">
        <is>
          <t>1人5</t>
        </is>
      </c>
      <c r="E7" t="inlineStr">
        <is>
          <t>000円以下を目安に</t>
        </is>
      </c>
    </row>
    <row r="8">
      <c r="A8" t="inlineStr">
        <is>
          <t>広告宣伝費</t>
        </is>
      </c>
      <c r="B8" t="inlineStr">
        <is>
          <t>SNS広告・名刺・LP制作費・ロゴ作成</t>
        </is>
      </c>
      <c r="C8" t="inlineStr">
        <is>
          <t>私的なプレゼント</t>
        </is>
      </c>
      <c r="D8" t="inlineStr">
        <is>
          <t>業務との関連性を記録</t>
        </is>
      </c>
    </row>
    <row r="9">
      <c r="A9" t="inlineStr">
        <is>
          <t>支払手数料</t>
        </is>
      </c>
      <c r="B9" t="inlineStr">
        <is>
          <t>振込手数料・プラットフォーム手数料</t>
        </is>
      </c>
      <c r="C9" t="inlineStr">
        <is>
          <t>個人銀行の私的手数料</t>
        </is>
      </c>
      <c r="D9" t="inlineStr">
        <is>
          <t>事業用口座と個人口座を分ける</t>
        </is>
      </c>
    </row>
    <row r="10">
      <c r="A10" t="inlineStr">
        <is>
          <t>地代家賃</t>
        </is>
      </c>
      <c r="B10" t="inlineStr">
        <is>
          <t>事務所家賃・コワーキング・会議室代</t>
        </is>
      </c>
      <c r="C10" t="inlineStr">
        <is>
          <t>全額自宅家賃</t>
        </is>
      </c>
      <c r="D10" t="inlineStr">
        <is>
          <t>自宅は事業使用率（20〜30%目安）で按分</t>
        </is>
      </c>
    </row>
    <row r="11">
      <c r="A11" t="inlineStr">
        <is>
          <t>水道光熱費</t>
        </is>
      </c>
      <c r="B11" t="inlineStr">
        <is>
          <t>自宅作業の電気・水道（按分後）</t>
        </is>
      </c>
      <c r="C11" t="inlineStr">
        <is>
          <t>全額計上</t>
        </is>
      </c>
      <c r="D11" t="inlineStr">
        <is>
          <t>事業使用率20〜40%目安</t>
        </is>
      </c>
    </row>
    <row r="12">
      <c r="A12" t="inlineStr">
        <is>
          <t>減価償却費</t>
        </is>
      </c>
      <c r="B12" t="inlineStr">
        <is>
          <t>10万円超の備品（年単位で按分）</t>
        </is>
      </c>
      <c r="C12" t="inlineStr">
        <is>
          <t>10万円未満（消耗品費に分類）</t>
        </is>
      </c>
      <c r="D12" t="inlineStr">
        <is>
          <t>法定耐用年数を要確認（PC4年等）</t>
        </is>
      </c>
    </row>
    <row r="13">
      <c r="A13" t="inlineStr">
        <is>
          <t>研修費</t>
        </is>
      </c>
      <c r="B13" t="inlineStr">
        <is>
          <t>セミナー・オンライン講座・書籍研修</t>
        </is>
      </c>
      <c r="C13" t="inlineStr">
        <is>
          <t>趣味の習い事</t>
        </is>
      </c>
      <c r="D13" t="inlineStr">
        <is>
          <t>業務スキル向上目的に限る</t>
        </is>
      </c>
    </row>
    <row r="14">
      <c r="A14" t="inlineStr">
        <is>
          <t>車両費</t>
        </is>
      </c>
      <c r="B14" t="inlineStr">
        <is>
          <t>事業用ガソリン・駐車場・整備代</t>
        </is>
      </c>
      <c r="C14" t="inlineStr">
        <is>
          <t>プライベート使用分</t>
        </is>
      </c>
      <c r="D14" t="inlineStr">
        <is>
          <t>走行距離記録で按分</t>
        </is>
      </c>
    </row>
    <row r="15">
      <c r="A15" t="inlineStr">
        <is>
          <t>租税公課</t>
        </is>
      </c>
      <c r="B15" t="inlineStr">
        <is>
          <t>印紙代・固定資産税・自動車税</t>
        </is>
      </c>
      <c r="C15" t="inlineStr">
        <is>
          <t>所得税・住民税（事業の経費にならない）</t>
        </is>
      </c>
      <c r="D15" t="inlineStr">
        <is>
          <t>事業に関連するもののみ</t>
        </is>
      </c>
    </row>
    <row r="16">
      <c r="A16" t="inlineStr">
        <is>
          <t>雑費</t>
        </is>
      </c>
      <c r="B16" t="inlineStr">
        <is>
          <t>どの科目にも該当しない少額</t>
        </is>
      </c>
      <c r="C16" t="inlineStr">
        <is>
          <t>高額・恒常的なもの</t>
        </is>
      </c>
      <c r="D16" t="inlineStr">
        <is>
          <t>全体の経費の5%以内が目安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1" customWidth="1" min="4" max="4"/>
  </cols>
  <sheetData>
    <row r="1">
      <c r="A1" s="1" t="inlineStr">
        <is>
          <t>項目</t>
        </is>
      </c>
      <c r="B1" s="1" t="inlineStr">
        <is>
          <t>白色申告</t>
        </is>
      </c>
      <c r="C1" s="1" t="inlineStr">
        <is>
          <t>青色申告10万円控除</t>
        </is>
      </c>
      <c r="D1" s="1" t="inlineStr">
        <is>
          <t>青色申告55万/65万円控除</t>
        </is>
      </c>
    </row>
    <row r="2">
      <c r="A2" t="inlineStr">
        <is>
          <t>事前届出</t>
        </is>
      </c>
      <c r="B2" t="inlineStr">
        <is>
          <t>不要</t>
        </is>
      </c>
      <c r="C2" t="inlineStr">
        <is>
          <t>開業届＋青色申告承認申請書</t>
        </is>
      </c>
      <c r="D2" t="inlineStr">
        <is>
          <t>開業届＋青色申告承認申請書</t>
        </is>
      </c>
    </row>
    <row r="3">
      <c r="A3" t="inlineStr">
        <is>
          <t>帳簿</t>
        </is>
      </c>
      <c r="B3" t="inlineStr">
        <is>
          <t>簡易な記録</t>
        </is>
      </c>
      <c r="C3" t="inlineStr">
        <is>
          <t>簡易簿記</t>
        </is>
      </c>
      <c r="D3" t="inlineStr">
        <is>
          <t>複式簿記</t>
        </is>
      </c>
    </row>
    <row r="4">
      <c r="A4" t="inlineStr">
        <is>
          <t>必要書類</t>
        </is>
      </c>
      <c r="B4" t="inlineStr">
        <is>
          <t>収支内訳書</t>
        </is>
      </c>
      <c r="C4" t="inlineStr">
        <is>
          <t>青色申告決算書</t>
        </is>
      </c>
      <c r="D4" t="inlineStr">
        <is>
          <t>青色申告決算書＋貸借対照表</t>
        </is>
      </c>
    </row>
    <row r="5">
      <c r="A5" t="inlineStr">
        <is>
          <t>特別控除額</t>
        </is>
      </c>
      <c r="B5" t="inlineStr">
        <is>
          <t>なし</t>
        </is>
      </c>
      <c r="C5" t="inlineStr">
        <is>
          <t>10万円</t>
        </is>
      </c>
      <c r="D5" t="inlineStr">
        <is>
          <t>55万円（紙）/65万円（e-Tax）</t>
        </is>
      </c>
    </row>
    <row r="6">
      <c r="A6" t="inlineStr">
        <is>
          <t>赤字繰越</t>
        </is>
      </c>
      <c r="B6" t="inlineStr">
        <is>
          <t>不可</t>
        </is>
      </c>
      <c r="C6" t="inlineStr">
        <is>
          <t>3年間</t>
        </is>
      </c>
      <c r="D6" t="inlineStr">
        <is>
          <t>3年間</t>
        </is>
      </c>
    </row>
    <row r="7">
      <c r="A7" t="inlineStr">
        <is>
          <t>専従者給与</t>
        </is>
      </c>
      <c r="B7" t="inlineStr">
        <is>
          <t>不可（事業専従者控除のみ）</t>
        </is>
      </c>
      <c r="C7" t="inlineStr">
        <is>
          <t>届出すれば可</t>
        </is>
      </c>
      <c r="D7" t="inlineStr">
        <is>
          <t>届出すれば可</t>
        </is>
      </c>
    </row>
    <row r="8">
      <c r="A8" t="inlineStr">
        <is>
          <t>30万未満一括経費</t>
        </is>
      </c>
      <c r="B8" t="inlineStr">
        <is>
          <t>不可</t>
        </is>
      </c>
      <c r="C8" t="inlineStr">
        <is>
          <t>可（中小企業特例）</t>
        </is>
      </c>
      <c r="D8" t="inlineStr">
        <is>
          <t>可（中小企業特例）</t>
        </is>
      </c>
    </row>
    <row r="9">
      <c r="A9" t="inlineStr">
        <is>
          <t>推奨対象</t>
        </is>
      </c>
      <c r="B9" t="inlineStr">
        <is>
          <t>副業初年度・年商少額</t>
        </is>
      </c>
      <c r="C9" t="inlineStr">
        <is>
          <t>シンプル運営重視</t>
        </is>
      </c>
      <c r="D9" t="inlineStr">
        <is>
          <t>月収20万円超・節税重視</t>
        </is>
      </c>
    </row>
    <row r="10">
      <c r="A10" t="inlineStr">
        <is>
          <t>作業負荷</t>
        </is>
      </c>
      <c r="B10" t="inlineStr">
        <is>
          <t>低</t>
        </is>
      </c>
      <c r="C10" t="inlineStr">
        <is>
          <t>中</t>
        </is>
      </c>
      <c r="D10" t="inlineStr">
        <is>
          <t>高（会計ソフト推奨）</t>
        </is>
      </c>
    </row>
    <row r="11">
      <c r="A11" t="inlineStr">
        <is>
          <t>推奨会計ソフト</t>
        </is>
      </c>
      <c r="B11" t="inlineStr">
        <is>
          <t>Excel手書きでも可</t>
        </is>
      </c>
      <c r="C11" t="inlineStr">
        <is>
          <t>freee/マネーフォワードなど</t>
        </is>
      </c>
      <c r="D11" t="inlineStr">
        <is>
          <t>freee/マネーフォワード必須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2026-05-06T08:51:04Z</dcterms:created>
  <dcterms:modified xsi:type="dcterms:W3CDTF">2026-05-06T08:51:04Z</dcterms:modified>
</cp:coreProperties>
</file>