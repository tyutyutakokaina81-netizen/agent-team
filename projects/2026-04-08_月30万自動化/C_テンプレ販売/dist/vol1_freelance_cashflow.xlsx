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収入" sheetId="1" state="visible" r:id="rId1"/>
    <sheet name="経費" sheetId="2" state="visible" r:id="rId2"/>
    <sheet name="案件管理" sheetId="3" state="visible" r:id="rId3"/>
    <sheet name="年間サマリ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yyyy/mm/dd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18" customWidth="1" min="4" max="4"/>
    <col width="14" customWidth="1" min="5" max="5"/>
    <col width="18" customWidth="1" min="6" max="6"/>
    <col width="12" customWidth="1" min="7" max="7"/>
    <col width="10" customWidth="1" min="8" max="8"/>
    <col width="14" customWidth="1" min="9" max="9"/>
    <col width="20" customWidth="1" min="10" max="10"/>
  </cols>
  <sheetData>
    <row r="1">
      <c r="A1" s="1" t="inlineStr">
        <is>
          <t>日付</t>
        </is>
      </c>
      <c r="B1" s="1" t="inlineStr">
        <is>
          <t>クライアント名</t>
        </is>
      </c>
      <c r="C1" s="1" t="inlineStr">
        <is>
          <t>案件名</t>
        </is>
      </c>
      <c r="D1" s="1" t="inlineStr">
        <is>
          <t>請求金額(税抜)</t>
        </is>
      </c>
      <c r="E1" s="1" t="inlineStr">
        <is>
          <t>消費税(10%)</t>
        </is>
      </c>
      <c r="F1" s="1" t="inlineStr">
        <is>
          <t>請求金額(税込)</t>
        </is>
      </c>
      <c r="G1" s="1" t="inlineStr">
        <is>
          <t>入金日</t>
        </is>
      </c>
      <c r="H1" s="1" t="inlineStr">
        <is>
          <t>入金確認</t>
        </is>
      </c>
      <c r="I1" s="1" t="inlineStr">
        <is>
          <t>請求書番号</t>
        </is>
      </c>
      <c r="J1" s="1" t="inlineStr">
        <is>
          <t>備考</t>
        </is>
      </c>
    </row>
    <row r="2">
      <c r="A2" s="2" t="n"/>
      <c r="B2" s="3" t="n"/>
      <c r="C2" s="3" t="n"/>
      <c r="D2" s="4" t="n"/>
      <c r="E2" s="4">
        <f>IF(D2="","",D2*0.1)</f>
        <v/>
      </c>
      <c r="F2" s="4">
        <f>IF(D2="","",D2+E2)</f>
        <v/>
      </c>
      <c r="G2" s="2" t="n"/>
      <c r="H2" s="3" t="n"/>
      <c r="I2" s="3" t="n"/>
      <c r="J2" s="3" t="n"/>
    </row>
    <row r="3">
      <c r="A3" s="2" t="n"/>
      <c r="B3" s="3" t="n"/>
      <c r="C3" s="3" t="n"/>
      <c r="D3" s="4" t="n"/>
      <c r="E3" s="4">
        <f>IF(D3="","",D3*0.1)</f>
        <v/>
      </c>
      <c r="F3" s="4">
        <f>IF(D3="","",D3+E3)</f>
        <v/>
      </c>
      <c r="G3" s="2" t="n"/>
      <c r="H3" s="3" t="n"/>
      <c r="I3" s="3" t="n"/>
      <c r="J3" s="3" t="n"/>
    </row>
    <row r="4">
      <c r="A4" s="2" t="n"/>
      <c r="B4" s="3" t="n"/>
      <c r="C4" s="3" t="n"/>
      <c r="D4" s="4" t="n"/>
      <c r="E4" s="4">
        <f>IF(D4="","",D4*0.1)</f>
        <v/>
      </c>
      <c r="F4" s="4">
        <f>IF(D4="","",D4+E4)</f>
        <v/>
      </c>
      <c r="G4" s="2" t="n"/>
      <c r="H4" s="3" t="n"/>
      <c r="I4" s="3" t="n"/>
      <c r="J4" s="3" t="n"/>
    </row>
    <row r="5">
      <c r="A5" s="2" t="n"/>
      <c r="B5" s="3" t="n"/>
      <c r="C5" s="3" t="n"/>
      <c r="D5" s="4" t="n"/>
      <c r="E5" s="4">
        <f>IF(D5="","",D5*0.1)</f>
        <v/>
      </c>
      <c r="F5" s="4">
        <f>IF(D5="","",D5+E5)</f>
        <v/>
      </c>
      <c r="G5" s="2" t="n"/>
      <c r="H5" s="3" t="n"/>
      <c r="I5" s="3" t="n"/>
      <c r="J5" s="3" t="n"/>
    </row>
    <row r="6">
      <c r="A6" s="2" t="n"/>
      <c r="B6" s="3" t="n"/>
      <c r="C6" s="3" t="n"/>
      <c r="D6" s="4" t="n"/>
      <c r="E6" s="4">
        <f>IF(D6="","",D6*0.1)</f>
        <v/>
      </c>
      <c r="F6" s="4">
        <f>IF(D6="","",D6+E6)</f>
        <v/>
      </c>
      <c r="G6" s="2" t="n"/>
      <c r="H6" s="3" t="n"/>
      <c r="I6" s="3" t="n"/>
      <c r="J6" s="3" t="n"/>
    </row>
    <row r="7">
      <c r="A7" s="2" t="n"/>
      <c r="B7" s="3" t="n"/>
      <c r="C7" s="3" t="n"/>
      <c r="D7" s="4" t="n"/>
      <c r="E7" s="4">
        <f>IF(D7="","",D7*0.1)</f>
        <v/>
      </c>
      <c r="F7" s="4">
        <f>IF(D7="","",D7+E7)</f>
        <v/>
      </c>
      <c r="G7" s="2" t="n"/>
      <c r="H7" s="3" t="n"/>
      <c r="I7" s="3" t="n"/>
      <c r="J7" s="3" t="n"/>
    </row>
    <row r="8">
      <c r="A8" s="2" t="n"/>
      <c r="B8" s="3" t="n"/>
      <c r="C8" s="3" t="n"/>
      <c r="D8" s="4" t="n"/>
      <c r="E8" s="4">
        <f>IF(D8="","",D8*0.1)</f>
        <v/>
      </c>
      <c r="F8" s="4">
        <f>IF(D8="","",D8+E8)</f>
        <v/>
      </c>
      <c r="G8" s="2" t="n"/>
      <c r="H8" s="3" t="n"/>
      <c r="I8" s="3" t="n"/>
      <c r="J8" s="3" t="n"/>
    </row>
    <row r="9">
      <c r="A9" s="2" t="n"/>
      <c r="B9" s="3" t="n"/>
      <c r="C9" s="3" t="n"/>
      <c r="D9" s="4" t="n"/>
      <c r="E9" s="4">
        <f>IF(D9="","",D9*0.1)</f>
        <v/>
      </c>
      <c r="F9" s="4">
        <f>IF(D9="","",D9+E9)</f>
        <v/>
      </c>
      <c r="G9" s="2" t="n"/>
      <c r="H9" s="3" t="n"/>
      <c r="I9" s="3" t="n"/>
      <c r="J9" s="3" t="n"/>
    </row>
    <row r="10">
      <c r="A10" s="2" t="n"/>
      <c r="B10" s="3" t="n"/>
      <c r="C10" s="3" t="n"/>
      <c r="D10" s="4" t="n"/>
      <c r="E10" s="4">
        <f>IF(D10="","",D10*0.1)</f>
        <v/>
      </c>
      <c r="F10" s="4">
        <f>IF(D10="","",D10+E10)</f>
        <v/>
      </c>
      <c r="G10" s="2" t="n"/>
      <c r="H10" s="3" t="n"/>
      <c r="I10" s="3" t="n"/>
      <c r="J10" s="3" t="n"/>
    </row>
    <row r="11">
      <c r="A11" s="2" t="n"/>
      <c r="B11" s="3" t="n"/>
      <c r="C11" s="3" t="n"/>
      <c r="D11" s="4" t="n"/>
      <c r="E11" s="4">
        <f>IF(D11="","",D11*0.1)</f>
        <v/>
      </c>
      <c r="F11" s="4">
        <f>IF(D11="","",D11+E11)</f>
        <v/>
      </c>
      <c r="G11" s="2" t="n"/>
      <c r="H11" s="3" t="n"/>
      <c r="I11" s="3" t="n"/>
      <c r="J11" s="3" t="n"/>
    </row>
    <row r="12">
      <c r="A12" s="2" t="n"/>
      <c r="B12" s="3" t="n"/>
      <c r="C12" s="3" t="n"/>
      <c r="D12" s="4" t="n"/>
      <c r="E12" s="4">
        <f>IF(D12="","",D12*0.1)</f>
        <v/>
      </c>
      <c r="F12" s="4">
        <f>IF(D12="","",D12+E12)</f>
        <v/>
      </c>
      <c r="G12" s="2" t="n"/>
      <c r="H12" s="3" t="n"/>
      <c r="I12" s="3" t="n"/>
      <c r="J12" s="3" t="n"/>
    </row>
    <row r="13">
      <c r="A13" s="2" t="n"/>
      <c r="B13" s="3" t="n"/>
      <c r="C13" s="3" t="n"/>
      <c r="D13" s="4" t="n"/>
      <c r="E13" s="4">
        <f>IF(D13="","",D13*0.1)</f>
        <v/>
      </c>
      <c r="F13" s="4">
        <f>IF(D13="","",D13+E13)</f>
        <v/>
      </c>
      <c r="G13" s="2" t="n"/>
      <c r="H13" s="3" t="n"/>
      <c r="I13" s="3" t="n"/>
      <c r="J13" s="3" t="n"/>
    </row>
    <row r="14">
      <c r="A14" s="2" t="n"/>
      <c r="B14" s="3" t="n"/>
      <c r="C14" s="3" t="n"/>
      <c r="D14" s="4" t="n"/>
      <c r="E14" s="4">
        <f>IF(D14="","",D14*0.1)</f>
        <v/>
      </c>
      <c r="F14" s="4">
        <f>IF(D14="","",D14+E14)</f>
        <v/>
      </c>
      <c r="G14" s="2" t="n"/>
      <c r="H14" s="3" t="n"/>
      <c r="I14" s="3" t="n"/>
      <c r="J14" s="3" t="n"/>
    </row>
    <row r="15">
      <c r="A15" s="2" t="n"/>
      <c r="B15" s="3" t="n"/>
      <c r="C15" s="3" t="n"/>
      <c r="D15" s="4" t="n"/>
      <c r="E15" s="4">
        <f>IF(D15="","",D15*0.1)</f>
        <v/>
      </c>
      <c r="F15" s="4">
        <f>IF(D15="","",D15+E15)</f>
        <v/>
      </c>
      <c r="G15" s="2" t="n"/>
      <c r="H15" s="3" t="n"/>
      <c r="I15" s="3" t="n"/>
      <c r="J15" s="3" t="n"/>
    </row>
    <row r="16">
      <c r="A16" s="2" t="n"/>
      <c r="B16" s="3" t="n"/>
      <c r="C16" s="3" t="n"/>
      <c r="D16" s="4" t="n"/>
      <c r="E16" s="4">
        <f>IF(D16="","",D16*0.1)</f>
        <v/>
      </c>
      <c r="F16" s="4">
        <f>IF(D16="","",D16+E16)</f>
        <v/>
      </c>
      <c r="G16" s="2" t="n"/>
      <c r="H16" s="3" t="n"/>
      <c r="I16" s="3" t="n"/>
      <c r="J16" s="3" t="n"/>
    </row>
    <row r="17">
      <c r="A17" s="2" t="n"/>
      <c r="B17" s="3" t="n"/>
      <c r="C17" s="3" t="n"/>
      <c r="D17" s="4" t="n"/>
      <c r="E17" s="4">
        <f>IF(D17="","",D17*0.1)</f>
        <v/>
      </c>
      <c r="F17" s="4">
        <f>IF(D17="","",D17+E17)</f>
        <v/>
      </c>
      <c r="G17" s="2" t="n"/>
      <c r="H17" s="3" t="n"/>
      <c r="I17" s="3" t="n"/>
      <c r="J17" s="3" t="n"/>
    </row>
    <row r="18">
      <c r="A18" s="2" t="n"/>
      <c r="B18" s="3" t="n"/>
      <c r="C18" s="3" t="n"/>
      <c r="D18" s="4" t="n"/>
      <c r="E18" s="4">
        <f>IF(D18="","",D18*0.1)</f>
        <v/>
      </c>
      <c r="F18" s="4">
        <f>IF(D18="","",D18+E18)</f>
        <v/>
      </c>
      <c r="G18" s="2" t="n"/>
      <c r="H18" s="3" t="n"/>
      <c r="I18" s="3" t="n"/>
      <c r="J18" s="3" t="n"/>
    </row>
    <row r="19">
      <c r="A19" s="2" t="n"/>
      <c r="B19" s="3" t="n"/>
      <c r="C19" s="3" t="n"/>
      <c r="D19" s="4" t="n"/>
      <c r="E19" s="4">
        <f>IF(D19="","",D19*0.1)</f>
        <v/>
      </c>
      <c r="F19" s="4">
        <f>IF(D19="","",D19+E19)</f>
        <v/>
      </c>
      <c r="G19" s="2" t="n"/>
      <c r="H19" s="3" t="n"/>
      <c r="I19" s="3" t="n"/>
      <c r="J19" s="3" t="n"/>
    </row>
    <row r="20">
      <c r="A20" s="2" t="n"/>
      <c r="B20" s="3" t="n"/>
      <c r="C20" s="3" t="n"/>
      <c r="D20" s="4" t="n"/>
      <c r="E20" s="4">
        <f>IF(D20="","",D20*0.1)</f>
        <v/>
      </c>
      <c r="F20" s="4">
        <f>IF(D20="","",D20+E20)</f>
        <v/>
      </c>
      <c r="G20" s="2" t="n"/>
      <c r="H20" s="3" t="n"/>
      <c r="I20" s="3" t="n"/>
      <c r="J20" s="3" t="n"/>
    </row>
    <row r="21">
      <c r="A21" s="2" t="n"/>
      <c r="B21" s="3" t="n"/>
      <c r="C21" s="3" t="n"/>
      <c r="D21" s="4" t="n"/>
      <c r="E21" s="4">
        <f>IF(D21="","",D21*0.1)</f>
        <v/>
      </c>
      <c r="F21" s="4">
        <f>IF(D21="","",D21+E21)</f>
        <v/>
      </c>
      <c r="G21" s="2" t="n"/>
      <c r="H21" s="3" t="n"/>
      <c r="I21" s="3" t="n"/>
      <c r="J21" s="3" t="n"/>
    </row>
    <row r="22">
      <c r="A22" s="2" t="n"/>
      <c r="B22" s="3" t="n"/>
      <c r="C22" s="3" t="n"/>
      <c r="D22" s="4" t="n"/>
      <c r="E22" s="4">
        <f>IF(D22="","",D22*0.1)</f>
        <v/>
      </c>
      <c r="F22" s="4">
        <f>IF(D22="","",D22+E22)</f>
        <v/>
      </c>
      <c r="G22" s="2" t="n"/>
      <c r="H22" s="3" t="n"/>
      <c r="I22" s="3" t="n"/>
      <c r="J22" s="3" t="n"/>
    </row>
    <row r="23">
      <c r="A23" s="2" t="n"/>
      <c r="B23" s="3" t="n"/>
      <c r="C23" s="3" t="n"/>
      <c r="D23" s="4" t="n"/>
      <c r="E23" s="4">
        <f>IF(D23="","",D23*0.1)</f>
        <v/>
      </c>
      <c r="F23" s="4">
        <f>IF(D23="","",D23+E23)</f>
        <v/>
      </c>
      <c r="G23" s="2" t="n"/>
      <c r="H23" s="3" t="n"/>
      <c r="I23" s="3" t="n"/>
      <c r="J23" s="3" t="n"/>
    </row>
    <row r="24">
      <c r="A24" s="2" t="n"/>
      <c r="B24" s="3" t="n"/>
      <c r="C24" s="3" t="n"/>
      <c r="D24" s="4" t="n"/>
      <c r="E24" s="4">
        <f>IF(D24="","",D24*0.1)</f>
        <v/>
      </c>
      <c r="F24" s="4">
        <f>IF(D24="","",D24+E24)</f>
        <v/>
      </c>
      <c r="G24" s="2" t="n"/>
      <c r="H24" s="3" t="n"/>
      <c r="I24" s="3" t="n"/>
      <c r="J24" s="3" t="n"/>
    </row>
    <row r="25">
      <c r="A25" s="2" t="n"/>
      <c r="B25" s="3" t="n"/>
      <c r="C25" s="3" t="n"/>
      <c r="D25" s="4" t="n"/>
      <c r="E25" s="4">
        <f>IF(D25="","",D25*0.1)</f>
        <v/>
      </c>
      <c r="F25" s="4">
        <f>IF(D25="","",D25+E25)</f>
        <v/>
      </c>
      <c r="G25" s="2" t="n"/>
      <c r="H25" s="3" t="n"/>
      <c r="I25" s="3" t="n"/>
      <c r="J25" s="3" t="n"/>
    </row>
    <row r="26">
      <c r="A26" s="2" t="n"/>
      <c r="B26" s="3" t="n"/>
      <c r="C26" s="3" t="n"/>
      <c r="D26" s="4" t="n"/>
      <c r="E26" s="4">
        <f>IF(D26="","",D26*0.1)</f>
        <v/>
      </c>
      <c r="F26" s="4">
        <f>IF(D26="","",D26+E26)</f>
        <v/>
      </c>
      <c r="G26" s="2" t="n"/>
      <c r="H26" s="3" t="n"/>
      <c r="I26" s="3" t="n"/>
      <c r="J26" s="3" t="n"/>
    </row>
    <row r="27">
      <c r="A27" s="2" t="n"/>
      <c r="B27" s="3" t="n"/>
      <c r="C27" s="3" t="n"/>
      <c r="D27" s="4" t="n"/>
      <c r="E27" s="4">
        <f>IF(D27="","",D27*0.1)</f>
        <v/>
      </c>
      <c r="F27" s="4">
        <f>IF(D27="","",D27+E27)</f>
        <v/>
      </c>
      <c r="G27" s="2" t="n"/>
      <c r="H27" s="3" t="n"/>
      <c r="I27" s="3" t="n"/>
      <c r="J27" s="3" t="n"/>
    </row>
    <row r="28">
      <c r="A28" s="2" t="n"/>
      <c r="B28" s="3" t="n"/>
      <c r="C28" s="3" t="n"/>
      <c r="D28" s="4" t="n"/>
      <c r="E28" s="4">
        <f>IF(D28="","",D28*0.1)</f>
        <v/>
      </c>
      <c r="F28" s="4">
        <f>IF(D28="","",D28+E28)</f>
        <v/>
      </c>
      <c r="G28" s="2" t="n"/>
      <c r="H28" s="3" t="n"/>
      <c r="I28" s="3" t="n"/>
      <c r="J28" s="3" t="n"/>
    </row>
    <row r="29">
      <c r="A29" s="2" t="n"/>
      <c r="B29" s="3" t="n"/>
      <c r="C29" s="3" t="n"/>
      <c r="D29" s="4" t="n"/>
      <c r="E29" s="4">
        <f>IF(D29="","",D29*0.1)</f>
        <v/>
      </c>
      <c r="F29" s="4">
        <f>IF(D29="","",D29+E29)</f>
        <v/>
      </c>
      <c r="G29" s="2" t="n"/>
      <c r="H29" s="3" t="n"/>
      <c r="I29" s="3" t="n"/>
      <c r="J29" s="3" t="n"/>
    </row>
    <row r="30">
      <c r="A30" s="2" t="n"/>
      <c r="B30" s="3" t="n"/>
      <c r="C30" s="3" t="n"/>
      <c r="D30" s="4" t="n"/>
      <c r="E30" s="4">
        <f>IF(D30="","",D30*0.1)</f>
        <v/>
      </c>
      <c r="F30" s="4">
        <f>IF(D30="","",D30+E30)</f>
        <v/>
      </c>
      <c r="G30" s="2" t="n"/>
      <c r="H30" s="3" t="n"/>
      <c r="I30" s="3" t="n"/>
      <c r="J30" s="3" t="n"/>
    </row>
    <row r="31">
      <c r="A31" s="2" t="n"/>
      <c r="B31" s="3" t="n"/>
      <c r="C31" s="3" t="n"/>
      <c r="D31" s="4" t="n"/>
      <c r="E31" s="4">
        <f>IF(D31="","",D31*0.1)</f>
        <v/>
      </c>
      <c r="F31" s="4">
        <f>IF(D31="","",D31+E31)</f>
        <v/>
      </c>
      <c r="G31" s="2" t="n"/>
      <c r="H31" s="3" t="n"/>
      <c r="I31" s="3" t="n"/>
      <c r="J31" s="3" t="n"/>
    </row>
    <row r="32">
      <c r="A32" s="5" t="inlineStr">
        <is>
          <t>【月計】</t>
        </is>
      </c>
      <c r="B32" s="5" t="n"/>
      <c r="C32" s="5" t="n"/>
      <c r="D32" s="6">
        <f>SUM(D2:D31)</f>
        <v/>
      </c>
      <c r="E32" s="6">
        <f>SUM(E2:E31)</f>
        <v/>
      </c>
      <c r="F32" s="6">
        <f>SUM(F2:F31)</f>
        <v/>
      </c>
      <c r="G32" s="5" t="n"/>
      <c r="H32" s="5" t="n"/>
      <c r="I32" s="5" t="n"/>
      <c r="J32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30" customWidth="1" min="5" max="5"/>
    <col width="12" customWidth="1" min="6" max="6"/>
    <col width="16" customWidth="1" min="8" max="8"/>
    <col width="14" customWidth="1" min="9" max="9"/>
  </cols>
  <sheetData>
    <row r="1">
      <c r="A1" s="1" t="inlineStr">
        <is>
          <t>日付</t>
        </is>
      </c>
      <c r="B1" s="1" t="inlineStr">
        <is>
          <t>科目</t>
        </is>
      </c>
      <c r="C1" s="1" t="inlineStr">
        <is>
          <t>金額</t>
        </is>
      </c>
      <c r="D1" s="1" t="inlineStr">
        <is>
          <t>支払方法</t>
        </is>
      </c>
      <c r="E1" s="1" t="inlineStr">
        <is>
          <t>摘要</t>
        </is>
      </c>
      <c r="F1" s="1" t="inlineStr">
        <is>
          <t>レシートあり</t>
        </is>
      </c>
      <c r="G1" s="1" t="n"/>
      <c r="H1" s="1" t="inlineStr">
        <is>
          <t>科目</t>
        </is>
      </c>
      <c r="I1" s="1" t="inlineStr">
        <is>
          <t>合計</t>
        </is>
      </c>
    </row>
    <row r="2">
      <c r="A2" s="2" t="n"/>
      <c r="B2" s="3" t="n"/>
      <c r="C2" s="4" t="n"/>
      <c r="D2" s="3" t="n"/>
      <c r="E2" s="3" t="n"/>
      <c r="F2" s="3" t="n"/>
      <c r="G2" s="3" t="n"/>
      <c r="H2" s="3" t="inlineStr">
        <is>
          <t>通信費</t>
        </is>
      </c>
      <c r="I2" s="4">
        <f>SUMIF(B:B,"通信費",C:C)</f>
        <v/>
      </c>
    </row>
    <row r="3">
      <c r="A3" s="2" t="n"/>
      <c r="B3" s="3" t="n"/>
      <c r="C3" s="4" t="n"/>
      <c r="D3" s="3" t="n"/>
      <c r="E3" s="3" t="n"/>
      <c r="F3" s="3" t="n"/>
      <c r="G3" s="3" t="n"/>
      <c r="H3" s="3" t="inlineStr">
        <is>
          <t>交通費</t>
        </is>
      </c>
      <c r="I3" s="4">
        <f>SUMIF(B:B,"交通費",C:C)</f>
        <v/>
      </c>
    </row>
    <row r="4">
      <c r="A4" s="2" t="n"/>
      <c r="B4" s="3" t="n"/>
      <c r="C4" s="4" t="n"/>
      <c r="D4" s="3" t="n"/>
      <c r="E4" s="3" t="n"/>
      <c r="F4" s="3" t="n"/>
      <c r="G4" s="3" t="n"/>
      <c r="H4" s="3" t="inlineStr">
        <is>
          <t>ソフトウェア</t>
        </is>
      </c>
      <c r="I4" s="4">
        <f>SUMIF(B:B,"ソフトウェア",C:C)</f>
        <v/>
      </c>
    </row>
    <row r="5">
      <c r="A5" s="2" t="n"/>
      <c r="B5" s="3" t="n"/>
      <c r="C5" s="4" t="n"/>
      <c r="D5" s="3" t="n"/>
      <c r="E5" s="3" t="n"/>
      <c r="F5" s="3" t="n"/>
      <c r="G5" s="3" t="n"/>
      <c r="H5" s="3" t="inlineStr">
        <is>
          <t>書籍・研修</t>
        </is>
      </c>
      <c r="I5" s="4">
        <f>SUMIF(B:B,"書籍・研修",C:C)</f>
        <v/>
      </c>
    </row>
    <row r="6">
      <c r="A6" s="2" t="n"/>
      <c r="B6" s="3" t="n"/>
      <c r="C6" s="4" t="n"/>
      <c r="D6" s="3" t="n"/>
      <c r="E6" s="3" t="n"/>
      <c r="F6" s="3" t="n"/>
      <c r="G6" s="3" t="n"/>
      <c r="H6" s="3" t="inlineStr">
        <is>
          <t>外注費</t>
        </is>
      </c>
      <c r="I6" s="4">
        <f>SUMIF(B:B,"外注費",C:C)</f>
        <v/>
      </c>
    </row>
    <row r="7">
      <c r="A7" s="2" t="n"/>
      <c r="B7" s="3" t="n"/>
      <c r="C7" s="4" t="n"/>
      <c r="D7" s="3" t="n"/>
      <c r="E7" s="3" t="n"/>
      <c r="F7" s="3" t="n"/>
      <c r="G7" s="3" t="n"/>
      <c r="H7" s="3" t="inlineStr">
        <is>
          <t>消耗品</t>
        </is>
      </c>
      <c r="I7" s="4">
        <f>SUMIF(B:B,"消耗品",C:C)</f>
        <v/>
      </c>
    </row>
    <row r="8">
      <c r="A8" s="2" t="n"/>
      <c r="B8" s="3" t="n"/>
      <c r="C8" s="4" t="n"/>
      <c r="D8" s="3" t="n"/>
      <c r="E8" s="3" t="n"/>
      <c r="F8" s="3" t="n"/>
      <c r="G8" s="3" t="n"/>
      <c r="H8" s="3" t="inlineStr">
        <is>
          <t>接待交際費</t>
        </is>
      </c>
      <c r="I8" s="4">
        <f>SUMIF(B:B,"接待交際費",C:C)</f>
        <v/>
      </c>
    </row>
    <row r="9">
      <c r="A9" s="2" t="n"/>
      <c r="B9" s="3" t="n"/>
      <c r="C9" s="4" t="n"/>
      <c r="D9" s="3" t="n"/>
      <c r="E9" s="3" t="n"/>
      <c r="F9" s="3" t="n"/>
      <c r="G9" s="3" t="n"/>
      <c r="H9" s="3" t="inlineStr">
        <is>
          <t>その他</t>
        </is>
      </c>
      <c r="I9" s="4">
        <f>SUMIF(B:B,"その他",C:C)</f>
        <v/>
      </c>
    </row>
    <row r="10">
      <c r="A10" s="7" t="n"/>
      <c r="B10" s="5" t="n"/>
      <c r="C10" s="6" t="n"/>
      <c r="D10" s="5" t="n"/>
      <c r="E10" s="5" t="n"/>
      <c r="F10" s="5" t="n"/>
      <c r="G10" s="5" t="n"/>
      <c r="H10" s="5" t="inlineStr">
        <is>
          <t>合計</t>
        </is>
      </c>
      <c r="I10" s="6">
        <f>SUM(I2:I9)</f>
        <v/>
      </c>
    </row>
    <row r="11">
      <c r="A11" s="2" t="n"/>
      <c r="B11" s="3" t="n"/>
      <c r="C11" s="4" t="n"/>
      <c r="D11" s="3" t="n"/>
      <c r="E11" s="3" t="n"/>
      <c r="F11" s="3" t="n"/>
    </row>
    <row r="12">
      <c r="A12" s="2" t="n"/>
      <c r="B12" s="3" t="n"/>
      <c r="C12" s="4" t="n"/>
      <c r="D12" s="3" t="n"/>
      <c r="E12" s="3" t="n"/>
      <c r="F12" s="3" t="n"/>
    </row>
    <row r="13">
      <c r="A13" s="2" t="n"/>
      <c r="B13" s="3" t="n"/>
      <c r="C13" s="4" t="n"/>
      <c r="D13" s="3" t="n"/>
      <c r="E13" s="3" t="n"/>
      <c r="F13" s="3" t="n"/>
    </row>
    <row r="14">
      <c r="A14" s="2" t="n"/>
      <c r="B14" s="3" t="n"/>
      <c r="C14" s="4" t="n"/>
      <c r="D14" s="3" t="n"/>
      <c r="E14" s="3" t="n"/>
      <c r="F14" s="3" t="n"/>
    </row>
    <row r="15">
      <c r="A15" s="2" t="n"/>
      <c r="B15" s="3" t="n"/>
      <c r="C15" s="4" t="n"/>
      <c r="D15" s="3" t="n"/>
      <c r="E15" s="3" t="n"/>
      <c r="F15" s="3" t="n"/>
    </row>
    <row r="16">
      <c r="A16" s="2" t="n"/>
      <c r="B16" s="3" t="n"/>
      <c r="C16" s="4" t="n"/>
      <c r="D16" s="3" t="n"/>
      <c r="E16" s="3" t="n"/>
      <c r="F16" s="3" t="n"/>
    </row>
    <row r="17">
      <c r="A17" s="2" t="n"/>
      <c r="B17" s="3" t="n"/>
      <c r="C17" s="4" t="n"/>
      <c r="D17" s="3" t="n"/>
      <c r="E17" s="3" t="n"/>
      <c r="F17" s="3" t="n"/>
    </row>
    <row r="18">
      <c r="A18" s="2" t="n"/>
      <c r="B18" s="3" t="n"/>
      <c r="C18" s="4" t="n"/>
      <c r="D18" s="3" t="n"/>
      <c r="E18" s="3" t="n"/>
      <c r="F18" s="3" t="n"/>
    </row>
    <row r="19">
      <c r="A19" s="2" t="n"/>
      <c r="B19" s="3" t="n"/>
      <c r="C19" s="4" t="n"/>
      <c r="D19" s="3" t="n"/>
      <c r="E19" s="3" t="n"/>
      <c r="F19" s="3" t="n"/>
    </row>
    <row r="20">
      <c r="A20" s="2" t="n"/>
      <c r="B20" s="3" t="n"/>
      <c r="C20" s="4" t="n"/>
      <c r="D20" s="3" t="n"/>
      <c r="E20" s="3" t="n"/>
      <c r="F20" s="3" t="n"/>
    </row>
    <row r="21">
      <c r="A21" s="2" t="n"/>
      <c r="B21" s="3" t="n"/>
      <c r="C21" s="4" t="n"/>
      <c r="D21" s="3" t="n"/>
      <c r="E21" s="3" t="n"/>
      <c r="F21" s="3" t="n"/>
    </row>
    <row r="22">
      <c r="A22" s="2" t="n"/>
      <c r="B22" s="3" t="n"/>
      <c r="C22" s="4" t="n"/>
      <c r="D22" s="3" t="n"/>
      <c r="E22" s="3" t="n"/>
      <c r="F22" s="3" t="n"/>
    </row>
    <row r="23">
      <c r="A23" s="2" t="n"/>
      <c r="B23" s="3" t="n"/>
      <c r="C23" s="4" t="n"/>
      <c r="D23" s="3" t="n"/>
      <c r="E23" s="3" t="n"/>
      <c r="F23" s="3" t="n"/>
    </row>
    <row r="24">
      <c r="A24" s="2" t="n"/>
      <c r="B24" s="3" t="n"/>
      <c r="C24" s="4" t="n"/>
      <c r="D24" s="3" t="n"/>
      <c r="E24" s="3" t="n"/>
      <c r="F24" s="3" t="n"/>
    </row>
    <row r="25">
      <c r="A25" s="2" t="n"/>
      <c r="B25" s="3" t="n"/>
      <c r="C25" s="4" t="n"/>
      <c r="D25" s="3" t="n"/>
      <c r="E25" s="3" t="n"/>
      <c r="F25" s="3" t="n"/>
    </row>
    <row r="26">
      <c r="A26" s="2" t="n"/>
      <c r="B26" s="3" t="n"/>
      <c r="C26" s="4" t="n"/>
      <c r="D26" s="3" t="n"/>
      <c r="E26" s="3" t="n"/>
      <c r="F26" s="3" t="n"/>
    </row>
    <row r="27">
      <c r="A27" s="2" t="n"/>
      <c r="B27" s="3" t="n"/>
      <c r="C27" s="4" t="n"/>
      <c r="D27" s="3" t="n"/>
      <c r="E27" s="3" t="n"/>
      <c r="F27" s="3" t="n"/>
    </row>
    <row r="28">
      <c r="A28" s="2" t="n"/>
      <c r="B28" s="3" t="n"/>
      <c r="C28" s="4" t="n"/>
      <c r="D28" s="3" t="n"/>
      <c r="E28" s="3" t="n"/>
      <c r="F28" s="3" t="n"/>
    </row>
    <row r="29">
      <c r="A29" s="2" t="n"/>
      <c r="B29" s="3" t="n"/>
      <c r="C29" s="4" t="n"/>
      <c r="D29" s="3" t="n"/>
      <c r="E29" s="3" t="n"/>
      <c r="F29" s="3" t="n"/>
    </row>
    <row r="30">
      <c r="A30" s="2" t="n"/>
      <c r="B30" s="3" t="n"/>
      <c r="C30" s="4" t="n"/>
      <c r="D30" s="3" t="n"/>
      <c r="E30" s="3" t="n"/>
      <c r="F30" s="3" t="n"/>
    </row>
    <row r="31">
      <c r="A31" s="2" t="n"/>
      <c r="B31" s="3" t="n"/>
      <c r="C31" s="4" t="n"/>
      <c r="D31" s="3" t="n"/>
      <c r="E31" s="3" t="n"/>
      <c r="F31" s="3" t="n"/>
    </row>
  </sheetData>
  <dataValidations count="2">
    <dataValidation sqref="B2 B3 B4 B5 B6 B7 B8 B9 B10 B11 B12 B13 B14 B15 B16 B17 B18 B19 B20 B21 B22 B23 B24 B25 B26 B27 B28 B29 B30 B31" showDropDown="0" showInputMessage="0" showErrorMessage="1" allowBlank="0" type="list">
      <formula1>"通信費,交通費,ソフトウェア,書籍・研修,外注費,消耗品,接待交際費,その他"</formula1>
    </dataValidation>
    <dataValidation sqref="D2 D3 D4 D5 D6 D7 D8 D9 D10 D11 D12 D13 D14 D15 D16 D17 D18 D19 D20 D21 D22 D23 D24 D25 D26 D27 D28 D29 D30 D31" showDropDown="0" showInputMessage="0" showErrorMessage="1" allowBlank="0" type="list">
      <formula1>"現金,クレジットカード,電子マネー,銀行振込,その他"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25" customWidth="1" min="9" max="9"/>
  </cols>
  <sheetData>
    <row r="1">
      <c r="A1" s="1" t="inlineStr">
        <is>
          <t>案件名</t>
        </is>
      </c>
      <c r="B1" s="1" t="inlineStr">
        <is>
          <t>クライアント</t>
        </is>
      </c>
      <c r="C1" s="1" t="inlineStr">
        <is>
          <t>単価(円)</t>
        </is>
      </c>
      <c r="D1" s="1" t="inlineStr">
        <is>
          <t>稼働時間(h)</t>
        </is>
      </c>
      <c r="E1" s="1" t="inlineStr">
        <is>
          <t>時給(自動)</t>
        </is>
      </c>
      <c r="F1" s="1" t="inlineStr">
        <is>
          <t>開始日</t>
        </is>
      </c>
      <c r="G1" s="1" t="inlineStr">
        <is>
          <t>終了日</t>
        </is>
      </c>
      <c r="H1" s="1" t="inlineStr">
        <is>
          <t>ステータス</t>
        </is>
      </c>
      <c r="I1" s="1" t="inlineStr">
        <is>
          <t>備考</t>
        </is>
      </c>
    </row>
    <row r="2">
      <c r="A2" s="3" t="n"/>
      <c r="B2" s="3" t="n"/>
      <c r="C2" s="4" t="n"/>
      <c r="D2" s="3" t="n"/>
      <c r="E2" s="4">
        <f>IF(OR(C2="",D2=0),"",C2/D2)</f>
        <v/>
      </c>
      <c r="F2" s="2" t="n"/>
      <c r="G2" s="2" t="n"/>
      <c r="H2" s="3" t="n"/>
      <c r="I2" s="3" t="n"/>
    </row>
    <row r="3">
      <c r="A3" s="3" t="n"/>
      <c r="B3" s="3" t="n"/>
      <c r="C3" s="4" t="n"/>
      <c r="D3" s="3" t="n"/>
      <c r="E3" s="4">
        <f>IF(OR(C3="",D3=0),"",C3/D3)</f>
        <v/>
      </c>
      <c r="F3" s="2" t="n"/>
      <c r="G3" s="2" t="n"/>
      <c r="H3" s="3" t="n"/>
      <c r="I3" s="3" t="n"/>
    </row>
    <row r="4">
      <c r="A4" s="3" t="n"/>
      <c r="B4" s="3" t="n"/>
      <c r="C4" s="4" t="n"/>
      <c r="D4" s="3" t="n"/>
      <c r="E4" s="4">
        <f>IF(OR(C4="",D4=0),"",C4/D4)</f>
        <v/>
      </c>
      <c r="F4" s="2" t="n"/>
      <c r="G4" s="2" t="n"/>
      <c r="H4" s="3" t="n"/>
      <c r="I4" s="3" t="n"/>
    </row>
    <row r="5">
      <c r="A5" s="3" t="n"/>
      <c r="B5" s="3" t="n"/>
      <c r="C5" s="4" t="n"/>
      <c r="D5" s="3" t="n"/>
      <c r="E5" s="4">
        <f>IF(OR(C5="",D5=0),"",C5/D5)</f>
        <v/>
      </c>
      <c r="F5" s="2" t="n"/>
      <c r="G5" s="2" t="n"/>
      <c r="H5" s="3" t="n"/>
      <c r="I5" s="3" t="n"/>
    </row>
    <row r="6">
      <c r="A6" s="3" t="n"/>
      <c r="B6" s="3" t="n"/>
      <c r="C6" s="4" t="n"/>
      <c r="D6" s="3" t="n"/>
      <c r="E6" s="4">
        <f>IF(OR(C6="",D6=0),"",C6/D6)</f>
        <v/>
      </c>
      <c r="F6" s="2" t="n"/>
      <c r="G6" s="2" t="n"/>
      <c r="H6" s="3" t="n"/>
      <c r="I6" s="3" t="n"/>
    </row>
    <row r="7">
      <c r="A7" s="3" t="n"/>
      <c r="B7" s="3" t="n"/>
      <c r="C7" s="4" t="n"/>
      <c r="D7" s="3" t="n"/>
      <c r="E7" s="4">
        <f>IF(OR(C7="",D7=0),"",C7/D7)</f>
        <v/>
      </c>
      <c r="F7" s="2" t="n"/>
      <c r="G7" s="2" t="n"/>
      <c r="H7" s="3" t="n"/>
      <c r="I7" s="3" t="n"/>
    </row>
    <row r="8">
      <c r="A8" s="3" t="n"/>
      <c r="B8" s="3" t="n"/>
      <c r="C8" s="4" t="n"/>
      <c r="D8" s="3" t="n"/>
      <c r="E8" s="4">
        <f>IF(OR(C8="",D8=0),"",C8/D8)</f>
        <v/>
      </c>
      <c r="F8" s="2" t="n"/>
      <c r="G8" s="2" t="n"/>
      <c r="H8" s="3" t="n"/>
      <c r="I8" s="3" t="n"/>
    </row>
    <row r="9">
      <c r="A9" s="3" t="n"/>
      <c r="B9" s="3" t="n"/>
      <c r="C9" s="4" t="n"/>
      <c r="D9" s="3" t="n"/>
      <c r="E9" s="4">
        <f>IF(OR(C9="",D9=0),"",C9/D9)</f>
        <v/>
      </c>
      <c r="F9" s="2" t="n"/>
      <c r="G9" s="2" t="n"/>
      <c r="H9" s="3" t="n"/>
      <c r="I9" s="3" t="n"/>
    </row>
    <row r="10">
      <c r="A10" s="3" t="n"/>
      <c r="B10" s="3" t="n"/>
      <c r="C10" s="4" t="n"/>
      <c r="D10" s="3" t="n"/>
      <c r="E10" s="4">
        <f>IF(OR(C10="",D10=0),"",C10/D10)</f>
        <v/>
      </c>
      <c r="F10" s="2" t="n"/>
      <c r="G10" s="2" t="n"/>
      <c r="H10" s="3" t="n"/>
      <c r="I10" s="3" t="n"/>
    </row>
    <row r="11">
      <c r="A11" s="3" t="n"/>
      <c r="B11" s="3" t="n"/>
      <c r="C11" s="4" t="n"/>
      <c r="D11" s="3" t="n"/>
      <c r="E11" s="4">
        <f>IF(OR(C11="",D11=0),"",C11/D11)</f>
        <v/>
      </c>
      <c r="F11" s="2" t="n"/>
      <c r="G11" s="2" t="n"/>
      <c r="H11" s="3" t="n"/>
      <c r="I11" s="3" t="n"/>
    </row>
    <row r="12">
      <c r="A12" s="3" t="n"/>
      <c r="B12" s="3" t="n"/>
      <c r="C12" s="4" t="n"/>
      <c r="D12" s="3" t="n"/>
      <c r="E12" s="4">
        <f>IF(OR(C12="",D12=0),"",C12/D12)</f>
        <v/>
      </c>
      <c r="F12" s="2" t="n"/>
      <c r="G12" s="2" t="n"/>
      <c r="H12" s="3" t="n"/>
      <c r="I12" s="3" t="n"/>
    </row>
    <row r="13">
      <c r="A13" s="3" t="n"/>
      <c r="B13" s="3" t="n"/>
      <c r="C13" s="4" t="n"/>
      <c r="D13" s="3" t="n"/>
      <c r="E13" s="4">
        <f>IF(OR(C13="",D13=0),"",C13/D13)</f>
        <v/>
      </c>
      <c r="F13" s="2" t="n"/>
      <c r="G13" s="2" t="n"/>
      <c r="H13" s="3" t="n"/>
      <c r="I13" s="3" t="n"/>
    </row>
    <row r="14">
      <c r="A14" s="3" t="n"/>
      <c r="B14" s="3" t="n"/>
      <c r="C14" s="4" t="n"/>
      <c r="D14" s="3" t="n"/>
      <c r="E14" s="4">
        <f>IF(OR(C14="",D14=0),"",C14/D14)</f>
        <v/>
      </c>
      <c r="F14" s="2" t="n"/>
      <c r="G14" s="2" t="n"/>
      <c r="H14" s="3" t="n"/>
      <c r="I14" s="3" t="n"/>
    </row>
    <row r="15">
      <c r="A15" s="3" t="n"/>
      <c r="B15" s="3" t="n"/>
      <c r="C15" s="4" t="n"/>
      <c r="D15" s="3" t="n"/>
      <c r="E15" s="4">
        <f>IF(OR(C15="",D15=0),"",C15/D15)</f>
        <v/>
      </c>
      <c r="F15" s="2" t="n"/>
      <c r="G15" s="2" t="n"/>
      <c r="H15" s="3" t="n"/>
      <c r="I15" s="3" t="n"/>
    </row>
    <row r="16">
      <c r="A16" s="3" t="n"/>
      <c r="B16" s="3" t="n"/>
      <c r="C16" s="4" t="n"/>
      <c r="D16" s="3" t="n"/>
      <c r="E16" s="4">
        <f>IF(OR(C16="",D16=0),"",C16/D16)</f>
        <v/>
      </c>
      <c r="F16" s="2" t="n"/>
      <c r="G16" s="2" t="n"/>
      <c r="H16" s="3" t="n"/>
      <c r="I16" s="3" t="n"/>
    </row>
    <row r="17">
      <c r="A17" s="3" t="n"/>
      <c r="B17" s="3" t="n"/>
      <c r="C17" s="4" t="n"/>
      <c r="D17" s="3" t="n"/>
      <c r="E17" s="4">
        <f>IF(OR(C17="",D17=0),"",C17/D17)</f>
        <v/>
      </c>
      <c r="F17" s="2" t="n"/>
      <c r="G17" s="2" t="n"/>
      <c r="H17" s="3" t="n"/>
      <c r="I17" s="3" t="n"/>
    </row>
    <row r="18">
      <c r="A18" s="3" t="n"/>
      <c r="B18" s="3" t="n"/>
      <c r="C18" s="4" t="n"/>
      <c r="D18" s="3" t="n"/>
      <c r="E18" s="4">
        <f>IF(OR(C18="",D18=0),"",C18/D18)</f>
        <v/>
      </c>
      <c r="F18" s="2" t="n"/>
      <c r="G18" s="2" t="n"/>
      <c r="H18" s="3" t="n"/>
      <c r="I18" s="3" t="n"/>
    </row>
    <row r="19">
      <c r="A19" s="3" t="n"/>
      <c r="B19" s="3" t="n"/>
      <c r="C19" s="4" t="n"/>
      <c r="D19" s="3" t="n"/>
      <c r="E19" s="4">
        <f>IF(OR(C19="",D19=0),"",C19/D19)</f>
        <v/>
      </c>
      <c r="F19" s="2" t="n"/>
      <c r="G19" s="2" t="n"/>
      <c r="H19" s="3" t="n"/>
      <c r="I19" s="3" t="n"/>
    </row>
    <row r="20">
      <c r="A20" s="3" t="n"/>
      <c r="B20" s="3" t="n"/>
      <c r="C20" s="4" t="n"/>
      <c r="D20" s="3" t="n"/>
      <c r="E20" s="4">
        <f>IF(OR(C20="",D20=0),"",C20/D20)</f>
        <v/>
      </c>
      <c r="F20" s="2" t="n"/>
      <c r="G20" s="2" t="n"/>
      <c r="H20" s="3" t="n"/>
      <c r="I20" s="3" t="n"/>
    </row>
    <row r="21">
      <c r="A21" s="3" t="n"/>
      <c r="B21" s="3" t="n"/>
      <c r="C21" s="4" t="n"/>
      <c r="D21" s="3" t="n"/>
      <c r="E21" s="4">
        <f>IF(OR(C21="",D21=0),"",C21/D21)</f>
        <v/>
      </c>
      <c r="F21" s="2" t="n"/>
      <c r="G21" s="2" t="n"/>
      <c r="H21" s="3" t="n"/>
      <c r="I21" s="3" t="n"/>
    </row>
    <row r="22">
      <c r="A22" s="3" t="n"/>
      <c r="B22" s="3" t="n"/>
      <c r="C22" s="4" t="n"/>
      <c r="D22" s="3" t="n"/>
      <c r="E22" s="4">
        <f>IF(OR(C22="",D22=0),"",C22/D22)</f>
        <v/>
      </c>
      <c r="F22" s="2" t="n"/>
      <c r="G22" s="2" t="n"/>
      <c r="H22" s="3" t="n"/>
      <c r="I22" s="3" t="n"/>
    </row>
    <row r="23">
      <c r="A23" s="3" t="n"/>
      <c r="B23" s="3" t="n"/>
      <c r="C23" s="4" t="n"/>
      <c r="D23" s="3" t="n"/>
      <c r="E23" s="4">
        <f>IF(OR(C23="",D23=0),"",C23/D23)</f>
        <v/>
      </c>
      <c r="F23" s="2" t="n"/>
      <c r="G23" s="2" t="n"/>
      <c r="H23" s="3" t="n"/>
      <c r="I23" s="3" t="n"/>
    </row>
    <row r="24">
      <c r="A24" s="3" t="n"/>
      <c r="B24" s="3" t="n"/>
      <c r="C24" s="4" t="n"/>
      <c r="D24" s="3" t="n"/>
      <c r="E24" s="4">
        <f>IF(OR(C24="",D24=0),"",C24/D24)</f>
        <v/>
      </c>
      <c r="F24" s="2" t="n"/>
      <c r="G24" s="2" t="n"/>
      <c r="H24" s="3" t="n"/>
      <c r="I24" s="3" t="n"/>
    </row>
    <row r="25">
      <c r="A25" s="3" t="n"/>
      <c r="B25" s="3" t="n"/>
      <c r="C25" s="4" t="n"/>
      <c r="D25" s="3" t="n"/>
      <c r="E25" s="4">
        <f>IF(OR(C25="",D25=0),"",C25/D25)</f>
        <v/>
      </c>
      <c r="F25" s="2" t="n"/>
      <c r="G25" s="2" t="n"/>
      <c r="H25" s="3" t="n"/>
      <c r="I25" s="3" t="n"/>
    </row>
    <row r="26">
      <c r="A26" s="3" t="n"/>
      <c r="B26" s="3" t="n"/>
      <c r="C26" s="4" t="n"/>
      <c r="D26" s="3" t="n"/>
      <c r="E26" s="4">
        <f>IF(OR(C26="",D26=0),"",C26/D26)</f>
        <v/>
      </c>
      <c r="F26" s="2" t="n"/>
      <c r="G26" s="2" t="n"/>
      <c r="H26" s="3" t="n"/>
      <c r="I26" s="3" t="n"/>
    </row>
    <row r="27">
      <c r="A27" s="3" t="n"/>
      <c r="B27" s="3" t="n"/>
      <c r="C27" s="4" t="n"/>
      <c r="D27" s="3" t="n"/>
      <c r="E27" s="4">
        <f>IF(OR(C27="",D27=0),"",C27/D27)</f>
        <v/>
      </c>
      <c r="F27" s="2" t="n"/>
      <c r="G27" s="2" t="n"/>
      <c r="H27" s="3" t="n"/>
      <c r="I27" s="3" t="n"/>
    </row>
    <row r="28">
      <c r="A28" s="3" t="n"/>
      <c r="B28" s="3" t="n"/>
      <c r="C28" s="4" t="n"/>
      <c r="D28" s="3" t="n"/>
      <c r="E28" s="4">
        <f>IF(OR(C28="",D28=0),"",C28/D28)</f>
        <v/>
      </c>
      <c r="F28" s="2" t="n"/>
      <c r="G28" s="2" t="n"/>
      <c r="H28" s="3" t="n"/>
      <c r="I28" s="3" t="n"/>
    </row>
    <row r="29">
      <c r="A29" s="3" t="n"/>
      <c r="B29" s="3" t="n"/>
      <c r="C29" s="4" t="n"/>
      <c r="D29" s="3" t="n"/>
      <c r="E29" s="4">
        <f>IF(OR(C29="",D29=0),"",C29/D29)</f>
        <v/>
      </c>
      <c r="F29" s="2" t="n"/>
      <c r="G29" s="2" t="n"/>
      <c r="H29" s="3" t="n"/>
      <c r="I29" s="3" t="n"/>
    </row>
    <row r="30">
      <c r="A30" s="3" t="n"/>
      <c r="B30" s="3" t="n"/>
      <c r="C30" s="4" t="n"/>
      <c r="D30" s="3" t="n"/>
      <c r="E30" s="4">
        <f>IF(OR(C30="",D30=0),"",C30/D30)</f>
        <v/>
      </c>
      <c r="F30" s="2" t="n"/>
      <c r="G30" s="2" t="n"/>
      <c r="H30" s="3" t="n"/>
      <c r="I30" s="3" t="n"/>
    </row>
    <row r="31">
      <c r="A31" s="3" t="n"/>
      <c r="B31" s="3" t="n"/>
      <c r="C31" s="4" t="n"/>
      <c r="D31" s="3" t="n"/>
      <c r="E31" s="4">
        <f>IF(OR(C31="",D31=0),"",C31/D31)</f>
        <v/>
      </c>
      <c r="F31" s="2" t="n"/>
      <c r="G31" s="2" t="n"/>
      <c r="H31" s="3" t="n"/>
      <c r="I31" s="3" t="n"/>
    </row>
  </sheetData>
  <dataValidations count="1">
    <dataValidation sqref="H2 H3 H4 H5 H6 H7 H8 H9 H10 H11 H12 H13 H14 H15 H16 H17 H18 H19 H20 H21 H22 H23 H24 H25 H26 H27 H28 H29 H30 H31" showDropDown="0" showInputMessage="0" showErrorMessage="1" allowBlank="0" type="list">
      <formula1>"提案中,進行中,納品済,請求済,入金済,完了"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8" t="inlineStr">
        <is>
          <t>2026年 収支サマリー</t>
        </is>
      </c>
    </row>
    <row r="3">
      <c r="A3" s="1" t="inlineStr">
        <is>
          <t>月</t>
        </is>
      </c>
      <c r="B3" s="1" t="inlineStr">
        <is>
          <t>収入(税抜)</t>
        </is>
      </c>
      <c r="C3" s="1" t="inlineStr">
        <is>
          <t>経費</t>
        </is>
      </c>
      <c r="D3" s="1" t="inlineStr">
        <is>
          <t>手取り</t>
        </is>
      </c>
      <c r="E3" s="1" t="inlineStr">
        <is>
          <t>前月比</t>
        </is>
      </c>
    </row>
    <row r="4">
      <c r="A4" s="9" t="inlineStr">
        <is>
          <t>1月</t>
        </is>
      </c>
      <c r="B4" s="4">
        <f>SUMPRODUCT((MONTH(収入!A$2:A$200)=1)*(YEAR(収入!A$2:A$200)=YEAR(TODAY()))*収入!D$2:D$200)</f>
        <v/>
      </c>
      <c r="C4" s="4">
        <f>SUMPRODUCT((MONTH(経費!A$2:A$200)=1)*(YEAR(経費!A$2:A$200)=YEAR(TODAY()))*経費!C$2:C$200)</f>
        <v/>
      </c>
      <c r="D4" s="4">
        <f>B4-C4</f>
        <v/>
      </c>
      <c r="E4" s="4">
        <f>IF(ROW()-4&lt;=1,"",D4-D3)</f>
        <v/>
      </c>
    </row>
    <row r="5">
      <c r="A5" s="9" t="inlineStr">
        <is>
          <t>2月</t>
        </is>
      </c>
      <c r="B5" s="4">
        <f>SUMPRODUCT((MONTH(収入!A$2:A$200)=2)*(YEAR(収入!A$2:A$200)=YEAR(TODAY()))*収入!D$2:D$200)</f>
        <v/>
      </c>
      <c r="C5" s="4">
        <f>SUMPRODUCT((MONTH(経費!A$2:A$200)=2)*(YEAR(経費!A$2:A$200)=YEAR(TODAY()))*経費!C$2:C$200)</f>
        <v/>
      </c>
      <c r="D5" s="4">
        <f>B5-C5</f>
        <v/>
      </c>
      <c r="E5" s="4">
        <f>IF(ROW()-4&lt;=1,"",D5-D4)</f>
        <v/>
      </c>
    </row>
    <row r="6">
      <c r="A6" s="9" t="inlineStr">
        <is>
          <t>3月</t>
        </is>
      </c>
      <c r="B6" s="4">
        <f>SUMPRODUCT((MONTH(収入!A$2:A$200)=3)*(YEAR(収入!A$2:A$200)=YEAR(TODAY()))*収入!D$2:D$200)</f>
        <v/>
      </c>
      <c r="C6" s="4">
        <f>SUMPRODUCT((MONTH(経費!A$2:A$200)=3)*(YEAR(経費!A$2:A$200)=YEAR(TODAY()))*経費!C$2:C$200)</f>
        <v/>
      </c>
      <c r="D6" s="4">
        <f>B6-C6</f>
        <v/>
      </c>
      <c r="E6" s="4">
        <f>IF(ROW()-4&lt;=1,"",D6-D5)</f>
        <v/>
      </c>
    </row>
    <row r="7">
      <c r="A7" s="9" t="inlineStr">
        <is>
          <t>4月</t>
        </is>
      </c>
      <c r="B7" s="4">
        <f>SUMPRODUCT((MONTH(収入!A$2:A$200)=4)*(YEAR(収入!A$2:A$200)=YEAR(TODAY()))*収入!D$2:D$200)</f>
        <v/>
      </c>
      <c r="C7" s="4">
        <f>SUMPRODUCT((MONTH(経費!A$2:A$200)=4)*(YEAR(経費!A$2:A$200)=YEAR(TODAY()))*経費!C$2:C$200)</f>
        <v/>
      </c>
      <c r="D7" s="4">
        <f>B7-C7</f>
        <v/>
      </c>
      <c r="E7" s="4">
        <f>IF(ROW()-4&lt;=1,"",D7-D6)</f>
        <v/>
      </c>
    </row>
    <row r="8">
      <c r="A8" s="9" t="inlineStr">
        <is>
          <t>5月</t>
        </is>
      </c>
      <c r="B8" s="4">
        <f>SUMPRODUCT((MONTH(収入!A$2:A$200)=5)*(YEAR(収入!A$2:A$200)=YEAR(TODAY()))*収入!D$2:D$200)</f>
        <v/>
      </c>
      <c r="C8" s="4">
        <f>SUMPRODUCT((MONTH(経費!A$2:A$200)=5)*(YEAR(経費!A$2:A$200)=YEAR(TODAY()))*経費!C$2:C$200)</f>
        <v/>
      </c>
      <c r="D8" s="4">
        <f>B8-C8</f>
        <v/>
      </c>
      <c r="E8" s="4">
        <f>IF(ROW()-4&lt;=1,"",D8-D7)</f>
        <v/>
      </c>
    </row>
    <row r="9">
      <c r="A9" s="9" t="inlineStr">
        <is>
          <t>6月</t>
        </is>
      </c>
      <c r="B9" s="4">
        <f>SUMPRODUCT((MONTH(収入!A$2:A$200)=6)*(YEAR(収入!A$2:A$200)=YEAR(TODAY()))*収入!D$2:D$200)</f>
        <v/>
      </c>
      <c r="C9" s="4">
        <f>SUMPRODUCT((MONTH(経費!A$2:A$200)=6)*(YEAR(経費!A$2:A$200)=YEAR(TODAY()))*経費!C$2:C$200)</f>
        <v/>
      </c>
      <c r="D9" s="4">
        <f>B9-C9</f>
        <v/>
      </c>
      <c r="E9" s="4">
        <f>IF(ROW()-4&lt;=1,"",D9-D8)</f>
        <v/>
      </c>
    </row>
    <row r="10">
      <c r="A10" s="9" t="inlineStr">
        <is>
          <t>7月</t>
        </is>
      </c>
      <c r="B10" s="4">
        <f>SUMPRODUCT((MONTH(収入!A$2:A$200)=7)*(YEAR(収入!A$2:A$200)=YEAR(TODAY()))*収入!D$2:D$200)</f>
        <v/>
      </c>
      <c r="C10" s="4">
        <f>SUMPRODUCT((MONTH(経費!A$2:A$200)=7)*(YEAR(経費!A$2:A$200)=YEAR(TODAY()))*経費!C$2:C$200)</f>
        <v/>
      </c>
      <c r="D10" s="4">
        <f>B10-C10</f>
        <v/>
      </c>
      <c r="E10" s="4">
        <f>IF(ROW()-4&lt;=1,"",D10-D9)</f>
        <v/>
      </c>
    </row>
    <row r="11">
      <c r="A11" s="9" t="inlineStr">
        <is>
          <t>8月</t>
        </is>
      </c>
      <c r="B11" s="4">
        <f>SUMPRODUCT((MONTH(収入!A$2:A$200)=8)*(YEAR(収入!A$2:A$200)=YEAR(TODAY()))*収入!D$2:D$200)</f>
        <v/>
      </c>
      <c r="C11" s="4">
        <f>SUMPRODUCT((MONTH(経費!A$2:A$200)=8)*(YEAR(経費!A$2:A$200)=YEAR(TODAY()))*経費!C$2:C$200)</f>
        <v/>
      </c>
      <c r="D11" s="4">
        <f>B11-C11</f>
        <v/>
      </c>
      <c r="E11" s="4">
        <f>IF(ROW()-4&lt;=1,"",D11-D10)</f>
        <v/>
      </c>
    </row>
    <row r="12">
      <c r="A12" s="9" t="inlineStr">
        <is>
          <t>9月</t>
        </is>
      </c>
      <c r="B12" s="4">
        <f>SUMPRODUCT((MONTH(収入!A$2:A$200)=9)*(YEAR(収入!A$2:A$200)=YEAR(TODAY()))*収入!D$2:D$200)</f>
        <v/>
      </c>
      <c r="C12" s="4">
        <f>SUMPRODUCT((MONTH(経費!A$2:A$200)=9)*(YEAR(経費!A$2:A$200)=YEAR(TODAY()))*経費!C$2:C$200)</f>
        <v/>
      </c>
      <c r="D12" s="4">
        <f>B12-C12</f>
        <v/>
      </c>
      <c r="E12" s="4">
        <f>IF(ROW()-4&lt;=1,"",D12-D11)</f>
        <v/>
      </c>
    </row>
    <row r="13">
      <c r="A13" s="9" t="inlineStr">
        <is>
          <t>10月</t>
        </is>
      </c>
      <c r="B13" s="4">
        <f>SUMPRODUCT((MONTH(収入!A$2:A$200)=10)*(YEAR(収入!A$2:A$200)=YEAR(TODAY()))*収入!D$2:D$200)</f>
        <v/>
      </c>
      <c r="C13" s="4">
        <f>SUMPRODUCT((MONTH(経費!A$2:A$200)=10)*(YEAR(経費!A$2:A$200)=YEAR(TODAY()))*経費!C$2:C$200)</f>
        <v/>
      </c>
      <c r="D13" s="4">
        <f>B13-C13</f>
        <v/>
      </c>
      <c r="E13" s="4">
        <f>IF(ROW()-4&lt;=1,"",D13-D12)</f>
        <v/>
      </c>
    </row>
    <row r="14">
      <c r="A14" s="9" t="inlineStr">
        <is>
          <t>11月</t>
        </is>
      </c>
      <c r="B14" s="4">
        <f>SUMPRODUCT((MONTH(収入!A$2:A$200)=11)*(YEAR(収入!A$2:A$200)=YEAR(TODAY()))*収入!D$2:D$200)</f>
        <v/>
      </c>
      <c r="C14" s="4">
        <f>SUMPRODUCT((MONTH(経費!A$2:A$200)=11)*(YEAR(経費!A$2:A$200)=YEAR(TODAY()))*経費!C$2:C$200)</f>
        <v/>
      </c>
      <c r="D14" s="4">
        <f>B14-C14</f>
        <v/>
      </c>
      <c r="E14" s="4">
        <f>IF(ROW()-4&lt;=1,"",D14-D13)</f>
        <v/>
      </c>
    </row>
    <row r="15">
      <c r="A15" s="9" t="inlineStr">
        <is>
          <t>12月</t>
        </is>
      </c>
      <c r="B15" s="4">
        <f>SUMPRODUCT((MONTH(収入!A$2:A$200)=12)*(YEAR(収入!A$2:A$200)=YEAR(TODAY()))*収入!D$2:D$200)</f>
        <v/>
      </c>
      <c r="C15" s="4">
        <f>SUMPRODUCT((MONTH(経費!A$2:A$200)=12)*(YEAR(経費!A$2:A$200)=YEAR(TODAY()))*経費!C$2:C$200)</f>
        <v/>
      </c>
      <c r="D15" s="4">
        <f>B15-C15</f>
        <v/>
      </c>
      <c r="E15" s="4">
        <f>IF(ROW()-4&lt;=1,"",D15-D14)</f>
        <v/>
      </c>
    </row>
    <row r="16">
      <c r="A16" s="5" t="inlineStr">
        <is>
          <t>年間合計</t>
        </is>
      </c>
      <c r="B16" s="6">
        <f>SUM(B4:B15)</f>
        <v/>
      </c>
      <c r="C16" s="6">
        <f>SUM(C4:C15)</f>
        <v/>
      </c>
      <c r="D16" s="6">
        <f>SUM(D4:D15)</f>
        <v/>
      </c>
      <c r="E16" s="5" t="n"/>
    </row>
    <row r="18">
      <c r="A18" t="inlineStr">
        <is>
          <t>最高収入月</t>
        </is>
      </c>
      <c r="B18">
        <f>TEXT(MATCH(MAX(B4:B15),B4:B15,0),"0")&amp;"月"</f>
        <v/>
      </c>
      <c r="C18" t="inlineStr">
        <is>
          <t>最高額</t>
        </is>
      </c>
      <c r="D18" s="10">
        <f>MAX(B4:B15)</f>
        <v/>
      </c>
    </row>
    <row r="19">
      <c r="A19" t="inlineStr">
        <is>
          <t>最低収入月</t>
        </is>
      </c>
      <c r="B19">
        <f>TEXT(MATCH(MIN(IF(B4:B15&gt;0,B4:B15)),B4:B15,0),"0")&amp;"月"</f>
        <v/>
      </c>
      <c r="C19" t="inlineStr">
        <is>
          <t>最低額</t>
        </is>
      </c>
      <c r="D19" s="10">
        <f>MIN(IF(B4:B15&gt;0,B4:B15))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2026-04-11T02:12:05Z</dcterms:created>
  <dcterms:modified xsi:type="dcterms:W3CDTF">2026-04-11T02:12:05Z</dcterms:modified>
</cp:coreProperties>
</file>